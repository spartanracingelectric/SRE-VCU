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Torque FrontLeft" sheetId="2" r:id="rId5"/>
    <sheet state="visible" name="Torque FrontRight" sheetId="3" r:id="rId6"/>
    <sheet state="visible" name="Torque RearLeft" sheetId="4" r:id="rId7"/>
    <sheet state="visible" name="Torque RearRight" sheetId="5" r:id="rId8"/>
  </sheets>
  <definedNames/>
  <calcPr/>
  <extLst>
    <ext uri="GoogleSheetsCustomDataVersion1">
      <go:sheetsCustomData xmlns:go="http://customooxmlschemas.google.com/" r:id="rId9" roundtripDataSignature="AMtx7mjOymiOSBwfL2QFDM+1HWEz8HDIX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======
ID#AAAAqCDSllw
Autor    (2023-02-09 08:04:47)
The dec values are automatically converted to hex</t>
      </text>
    </comment>
  </commentList>
  <extLst>
    <ext uri="GoogleSheetsCustomDataVersion1">
      <go:sheetsCustomData xmlns:go="http://customooxmlschemas.google.com/" r:id="rId1" roundtripDataSignature="AMtx7mgR9oTp1bnexuy9cqHDQk16F56tnw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======
ID#AAAAqCDSll0
Autor    (2023-02-09 08:04:47)
The dec values are automatically converted to hex</t>
      </text>
    </comment>
  </commentList>
  <extLst>
    <ext uri="GoogleSheetsCustomDataVersion1">
      <go:sheetsCustomData xmlns:go="http://customooxmlschemas.google.com/" r:id="rId1" roundtripDataSignature="AMtx7mgovnB/MFcnmzNOeQy3vOOzCPvhyw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======
ID#AAAAqCDSllk
Autor    (2023-02-09 08:04:47)
The dec values are automatically converted to hex</t>
      </text>
    </comment>
  </commentList>
  <extLst>
    <ext uri="GoogleSheetsCustomDataVersion1">
      <go:sheetsCustomData xmlns:go="http://customooxmlschemas.google.com/" r:id="rId1" roundtripDataSignature="AMtx7mhcgfls+l0NQaQE8SaAo6xm1GEzIg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======
ID#AAAAqCDSllo
Autor    (2023-02-09 08:04:47)
The dec values are automatically converted to hex</t>
      </text>
    </comment>
  </commentList>
  <extLst>
    <ext uri="GoogleSheetsCustomDataVersion1">
      <go:sheetsCustomData xmlns:go="http://customooxmlschemas.google.com/" r:id="rId1" roundtripDataSignature="AMtx7mi91AydZSN8npeUnEv8rsMgGWr1Dg=="/>
    </ext>
  </extL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">
      <text>
        <t xml:space="preserve">======
ID#AAAAqCDSlls
Autor    (2023-02-09 08:04:47)
The dec values are automatically converted to hex</t>
      </text>
    </comment>
  </commentList>
  <extLst>
    <ext uri="GoogleSheetsCustomDataVersion1">
      <go:sheetsCustomData xmlns:go="http://customooxmlschemas.google.com/" r:id="rId1" roundtripDataSignature="AMtx7mgiUhMhj88vh8CGIdufsImyilq6Ug=="/>
    </ext>
  </extLst>
</comments>
</file>

<file path=xl/sharedStrings.xml><?xml version="1.0" encoding="utf-8"?>
<sst xmlns="http://schemas.openxmlformats.org/spreadsheetml/2006/main" count="1330" uniqueCount="137">
  <si>
    <t>ID number /
element</t>
  </si>
  <si>
    <t>Name</t>
  </si>
  <si>
    <t>Dec
Value</t>
  </si>
  <si>
    <t>Hex
Value</t>
  </si>
  <si>
    <t>Length
in byte</t>
  </si>
  <si>
    <t>Type</t>
  </si>
  <si>
    <t>Note</t>
  </si>
  <si>
    <t>ID34091</t>
  </si>
  <si>
    <t>User list 3</t>
  </si>
  <si>
    <t>*2</t>
  </si>
  <si>
    <t>hex</t>
  </si>
  <si>
    <t>The value 'list length' must be adapted to the subsequent configuration. The input value is 2 bytes and is in Dec (regardless of the specification in the Type field)
If the sum of the list elements results in an odd number, then a DUMMY byte is inserted at the end.</t>
  </si>
  <si>
    <t>[maximum]</t>
  </si>
  <si>
    <t>[1024]</t>
  </si>
  <si>
    <t>Maximum possible list length</t>
  </si>
  <si>
    <t>Mode message configuration</t>
  </si>
  <si>
    <r>
      <rPr>
        <rFont val="Arial"/>
        <b/>
        <color theme="1"/>
        <sz val="11.0"/>
      </rPr>
      <t>Selection mode</t>
    </r>
    <r>
      <rPr>
        <rFont val="Arial"/>
        <color theme="1"/>
        <sz val="10.0"/>
      </rPr>
      <t xml:space="preserve">
The 'Free CAN message configuration' is activated with the value 1.</t>
    </r>
  </si>
  <si>
    <t>Total of send messages</t>
  </si>
  <si>
    <r>
      <rPr>
        <rFont val="Arial"/>
        <b/>
        <color theme="1"/>
        <sz val="11.0"/>
      </rPr>
      <t>Begin send messages</t>
    </r>
    <r>
      <rPr>
        <rFont val="Arial"/>
        <color theme="1"/>
        <sz val="10.0"/>
      </rPr>
      <t xml:space="preserve">
Max. 10 send messages</t>
    </r>
  </si>
  <si>
    <t>CAN Identifier send messages 1</t>
  </si>
  <si>
    <t>-</t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</si>
  <si>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</si>
  <si>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t>Cycle / delay time in ms</t>
  </si>
  <si>
    <t>Cycle time or delay time for event-driven messages in ms.</t>
  </si>
  <si>
    <t>Data length in byte</t>
  </si>
  <si>
    <t>The data length is the sum of the configured signals. (max. 8 byte)</t>
  </si>
  <si>
    <t>Attribute</t>
  </si>
  <si>
    <t>0 = Message is sent cyclically
1 = Event driven</t>
  </si>
  <si>
    <t>Total of signals</t>
  </si>
  <si>
    <t>Total of signals (max. 8 byte per send message)</t>
  </si>
  <si>
    <t>Signal type</t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</si>
  <si>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</si>
  <si>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t>Reserved</t>
  </si>
  <si>
    <t>Only value 0 is allowed.</t>
  </si>
  <si>
    <t>Index</t>
  </si>
  <si>
    <t>Index SERCOS or Special signal</t>
  </si>
  <si>
    <t>Length in bit</t>
  </si>
  <si>
    <t>Data lenght index in bit</t>
  </si>
  <si>
    <t>Shift in bits (start bit)</t>
  </si>
  <si>
    <t>The entered value is used to specify the start bit of the signal in the message. (0..63 bit)</t>
  </si>
  <si>
    <t>Attribute sende message</t>
  </si>
  <si>
    <t>0 = without control signal, 1 = with control signal
0 = unsigned (e.g. status word) , 2 = signed (e.g. actual torque value)
0 = higher-value bits are lost, 4 = signal is limited to the maximum valuet // Relative to 'length in bits'</t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</si>
  <si>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</si>
  <si>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t>Total of receive messages</t>
  </si>
  <si>
    <r>
      <rPr>
        <rFont val="Arial"/>
        <b/>
        <color theme="1"/>
        <sz val="11.0"/>
      </rPr>
      <t>Begin receive messages</t>
    </r>
    <r>
      <rPr>
        <rFont val="Arial"/>
        <color theme="1"/>
        <sz val="10.0"/>
      </rPr>
      <t xml:space="preserve">
Max. 10 receive messages</t>
    </r>
  </si>
  <si>
    <t>CAN Identifier receive message 1</t>
  </si>
  <si>
    <r>
      <rPr>
        <rFont val="Arial"/>
        <b/>
        <color theme="1"/>
        <sz val="10.0"/>
      </rPr>
      <t>Head receive message 1</t>
    </r>
    <r>
      <rPr>
        <rFont val="Arial"/>
        <color theme="1"/>
        <sz val="10.0"/>
      </rPr>
      <t xml:space="preserve">
11-bit-identifier [hex]</t>
    </r>
  </si>
  <si>
    <t>Telegram failure monitoring</t>
  </si>
  <si>
    <t>Time in ms, 0 = without monitoring</t>
  </si>
  <si>
    <t>Reserviert</t>
  </si>
  <si>
    <t>Anzahl der Signale</t>
  </si>
  <si>
    <t>Up to 10 signals with a total data length of 8 bytes in a receive message.</t>
  </si>
  <si>
    <r>
      <rPr>
        <rFont val="Arial"/>
        <b/>
        <color theme="1"/>
        <sz val="10.0"/>
      </rPr>
      <t>Begin receive message 1</t>
    </r>
    <r>
      <rPr>
        <rFont val="Arial"/>
        <color theme="1"/>
        <sz val="10.0"/>
      </rPr>
      <t xml:space="preserve">
0 = SERCOS parameter
2 = Special signal</t>
    </r>
  </si>
  <si>
    <t>Attribute receive message</t>
  </si>
  <si>
    <t>0 = without control signal
1 = with control signal</t>
  </si>
  <si>
    <r>
      <rPr>
        <rFont val="Arial"/>
        <b/>
        <color theme="1"/>
        <sz val="10.0"/>
      </rPr>
      <t>Begin receive message 2</t>
    </r>
    <r>
      <rPr>
        <rFont val="Arial"/>
        <color theme="1"/>
        <sz val="10.0"/>
      </rPr>
      <t xml:space="preserve">
0 = SERCOS parameter
2 = Special signal</t>
    </r>
  </si>
  <si>
    <t>Transmission rate</t>
  </si>
  <si>
    <t>Transmission rate in kBaud</t>
  </si>
  <si>
    <t>End</t>
  </si>
  <si>
    <t>At the end of the 'Free CAN message configuration', an element with the content 0 bytes must be available.</t>
  </si>
  <si>
    <t>[DUMMY]</t>
  </si>
  <si>
    <t>At the end of the configuration, a maximum of 1 dummy byte may follow so that the sum of the list length results in an even number</t>
  </si>
  <si>
    <t>Sum in bytes</t>
  </si>
  <si>
    <t xml:space="preserve">List length in 2 bytes = </t>
  </si>
  <si>
    <r>
      <rPr>
        <rFont val="Arial"/>
        <b/>
        <color theme="1"/>
        <sz val="11.0"/>
      </rPr>
      <t>Selection mode</t>
    </r>
    <r>
      <rPr>
        <rFont val="Arial"/>
        <color theme="1"/>
        <sz val="10.0"/>
      </rPr>
      <t xml:space="preserve">
The 'Free CAN message configuration' is activated with the value 1.</t>
    </r>
  </si>
  <si>
    <r>
      <rPr>
        <rFont val="Arial"/>
        <b/>
        <color theme="1"/>
        <sz val="11.0"/>
      </rPr>
      <t>Begin send messages</t>
    </r>
    <r>
      <rPr>
        <rFont val="Arial"/>
        <color theme="1"/>
        <sz val="10.0"/>
      </rPr>
      <t xml:space="preserve">
Max. 10 send messages</t>
    </r>
  </si>
  <si>
    <t>Input
in
hex</t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</si>
  <si>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</si>
  <si>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</si>
  <si>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</si>
  <si>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</si>
  <si>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</si>
  <si>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</si>
  <si>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</si>
  <si>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</si>
  <si>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</si>
  <si>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</si>
  <si>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Begin receive messages</t>
    </r>
    <r>
      <rPr>
        <rFont val="Arial"/>
        <color theme="1"/>
        <sz val="10.0"/>
      </rPr>
      <t xml:space="preserve">
Max. 10 receive messages</t>
    </r>
  </si>
  <si>
    <r>
      <rPr>
        <rFont val="Arial"/>
        <b/>
        <color theme="1"/>
        <sz val="10.0"/>
      </rPr>
      <t>Head receive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</si>
  <si>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receive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</si>
  <si>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</si>
  <si>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</si>
  <si>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</si>
  <si>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Selection mode</t>
    </r>
    <r>
      <rPr>
        <rFont val="Arial"/>
        <color theme="1"/>
        <sz val="10.0"/>
      </rPr>
      <t xml:space="preserve">
The 'Free CAN message configuration' is activated with the value 1.</t>
    </r>
  </si>
  <si>
    <r>
      <rPr>
        <rFont val="Arial"/>
        <b/>
        <color theme="1"/>
        <sz val="11.0"/>
      </rPr>
      <t>Begin send messages</t>
    </r>
    <r>
      <rPr>
        <rFont val="Arial"/>
        <color theme="1"/>
        <sz val="10.0"/>
      </rPr>
      <t xml:space="preserve">
Max. 10 send messages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</si>
  <si>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</si>
  <si>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</si>
  <si>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</si>
  <si>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</si>
  <si>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</si>
  <si>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</si>
  <si>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</si>
  <si>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</si>
  <si>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</si>
  <si>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</si>
  <si>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Begin receive messages</t>
    </r>
    <r>
      <rPr>
        <rFont val="Arial"/>
        <color theme="1"/>
        <sz val="10.0"/>
      </rPr>
      <t xml:space="preserve">
Max. 10 receive messages</t>
    </r>
  </si>
  <si>
    <r>
      <rPr>
        <rFont val="Arial"/>
        <b/>
        <color theme="1"/>
        <sz val="10.0"/>
      </rPr>
      <t>Head receive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</si>
  <si>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receive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</si>
  <si>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</si>
  <si>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</si>
  <si>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</si>
  <si>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Selection mode</t>
    </r>
    <r>
      <rPr>
        <rFont val="Arial"/>
        <color theme="1"/>
        <sz val="10.0"/>
      </rPr>
      <t xml:space="preserve">
The 'Free CAN message configuration' is activated with the value 1.</t>
    </r>
  </si>
  <si>
    <r>
      <rPr>
        <rFont val="Arial"/>
        <b/>
        <color theme="1"/>
        <sz val="11.0"/>
      </rPr>
      <t>Begin send messages</t>
    </r>
    <r>
      <rPr>
        <rFont val="Arial"/>
        <color theme="1"/>
        <sz val="10.0"/>
      </rPr>
      <t xml:space="preserve">
Max. 10 send messages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</si>
  <si>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</si>
  <si>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</si>
  <si>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</si>
  <si>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</si>
  <si>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</si>
  <si>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</si>
  <si>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</si>
  <si>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</si>
  <si>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</si>
  <si>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</si>
  <si>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Begin receive messages</t>
    </r>
    <r>
      <rPr>
        <rFont val="Arial"/>
        <color theme="1"/>
        <sz val="10.0"/>
      </rPr>
      <t xml:space="preserve">
Max. 10 receive messages</t>
    </r>
  </si>
  <si>
    <r>
      <rPr>
        <rFont val="Arial"/>
        <b/>
        <color theme="1"/>
        <sz val="10.0"/>
      </rPr>
      <t>Head receive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</si>
  <si>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receive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</si>
  <si>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</si>
  <si>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</si>
  <si>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</si>
  <si>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Selection mode</t>
    </r>
    <r>
      <rPr>
        <rFont val="Arial"/>
        <color theme="1"/>
        <sz val="10.0"/>
      </rPr>
      <t xml:space="preserve">
The 'Free CAN message configuration' is activated with the value 1.</t>
    </r>
  </si>
  <si>
    <r>
      <rPr>
        <rFont val="Arial"/>
        <b/>
        <color theme="1"/>
        <sz val="11.0"/>
      </rPr>
      <t>Begin send messages</t>
    </r>
    <r>
      <rPr>
        <rFont val="Arial"/>
        <color theme="1"/>
        <sz val="10.0"/>
      </rPr>
      <t xml:space="preserve">
Max. 10 send messages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</si>
  <si>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</si>
  <si>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</si>
  <si>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</si>
  <si>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</si>
  <si>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</si>
  <si>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Head send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</si>
  <si>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send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</si>
  <si>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</si>
  <si>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</si>
  <si>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send message 4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</si>
  <si>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1.0"/>
      </rPr>
      <t>Begin receive messages</t>
    </r>
    <r>
      <rPr>
        <rFont val="Arial"/>
        <color theme="1"/>
        <sz val="10.0"/>
      </rPr>
      <t xml:space="preserve">
Max. 10 receive messages</t>
    </r>
  </si>
  <si>
    <r>
      <rPr>
        <rFont val="Arial"/>
        <b/>
        <color theme="1"/>
        <sz val="10.0"/>
      </rPr>
      <t>Head receive message 1</t>
    </r>
    <r>
      <rPr>
        <rFont val="Arial"/>
        <color theme="1"/>
        <sz val="10.0"/>
      </rPr>
      <t xml:space="preserve">
11-bit-identifier [hex]</t>
    </r>
  </si>
  <si>
    <r>
      <rPr>
        <rFont val="Arial"/>
        <b/>
        <color theme="1"/>
        <sz val="10.0"/>
      </rPr>
      <t>Begin receive message 1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</si>
  <si>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2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</si>
  <si>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3</t>
    </r>
    <r>
      <rPr>
        <rFont val="Arial"/>
        <color theme="1"/>
        <sz val="10.0"/>
      </rPr>
      <t xml:space="preserve">
0 = SERCOS parameter
2 = Special signal</t>
    </r>
  </si>
  <si>
    <r>
      <rPr>
        <rFont val="Arial"/>
        <b/>
        <color theme="1"/>
        <sz val="10.0"/>
      </rPr>
      <t>Begin receive message 4</t>
    </r>
    <r>
      <rPr>
        <rFont val="Arial"/>
        <color theme="1"/>
        <sz val="10.0"/>
      </rPr>
      <t xml:space="preserve">
0 = SERCOS parameter
2 = Special signal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</si>
</sst>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0000"/>
      <name val="Arial"/>
    </font>
    <font>
      <sz val="10.0"/>
      <color rgb="FFFF0000"/>
      <name val="Arial"/>
    </font>
    <font>
      <sz val="11.0"/>
      <color theme="1"/>
      <name val="Calibri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</fills>
  <borders count="40">
    <border/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left" vertical="center"/>
    </xf>
    <xf borderId="2" fillId="3" fontId="5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1" fillId="2" fontId="6" numFmtId="0" xfId="0" applyAlignment="1" applyBorder="1" applyFont="1">
      <alignment shrinkToFit="0" vertical="top" wrapText="1"/>
    </xf>
    <xf borderId="5" fillId="2" fontId="4" numFmtId="0" xfId="0" applyBorder="1" applyFont="1"/>
    <xf borderId="0" fillId="0" fontId="3" numFmtId="0" xfId="0" applyAlignment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Border="1" applyFont="1"/>
    <xf borderId="7" fillId="0" fontId="6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2" fontId="4" numFmtId="0" xfId="0" applyAlignment="1" applyBorder="1" applyFont="1">
      <alignment horizontal="center"/>
    </xf>
    <xf borderId="12" fillId="2" fontId="4" numFmtId="0" xfId="0" applyAlignment="1" applyBorder="1" applyFont="1">
      <alignment vertical="center"/>
    </xf>
    <xf borderId="12" fillId="3" fontId="6" numFmtId="0" xfId="0" applyAlignment="1" applyBorder="1" applyFont="1">
      <alignment horizontal="center" vertical="center"/>
    </xf>
    <xf borderId="12" fillId="2" fontId="4" numFmtId="0" xfId="0" applyAlignment="1" applyBorder="1" applyFont="1">
      <alignment horizontal="center" vertical="center"/>
    </xf>
    <xf borderId="13" fillId="2" fontId="4" numFmtId="0" xfId="0" applyBorder="1" applyFont="1"/>
    <xf borderId="14" fillId="2" fontId="4" numFmtId="0" xfId="0" applyAlignment="1" applyBorder="1" applyFont="1">
      <alignment shrinkToFit="0" wrapText="1"/>
    </xf>
    <xf borderId="15" fillId="2" fontId="4" numFmtId="0" xfId="0" applyBorder="1" applyFont="1"/>
    <xf borderId="16" fillId="2" fontId="2" numFmtId="0" xfId="0" applyAlignment="1" applyBorder="1" applyFont="1">
      <alignment horizontal="center"/>
    </xf>
    <xf borderId="7" fillId="2" fontId="4" numFmtId="0" xfId="0" applyAlignment="1" applyBorder="1" applyFont="1">
      <alignment vertical="center"/>
    </xf>
    <xf borderId="7" fillId="3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18" fillId="2" fontId="4" numFmtId="0" xfId="0" applyBorder="1" applyFont="1"/>
    <xf borderId="16" fillId="2" fontId="4" numFmtId="0" xfId="0" applyAlignment="1" applyBorder="1" applyFont="1">
      <alignment shrinkToFit="0" wrapText="1"/>
    </xf>
    <xf borderId="0" fillId="0" fontId="4" numFmtId="0" xfId="0" applyAlignment="1" applyFont="1">
      <alignment horizontal="center"/>
    </xf>
    <xf borderId="0" fillId="0" fontId="7" numFmtId="0" xfId="0" applyFont="1"/>
    <xf borderId="1" fillId="4" fontId="4" numFmtId="0" xfId="0" applyAlignment="1" applyBorder="1" applyFill="1" applyFont="1">
      <alignment horizontal="center"/>
    </xf>
    <xf borderId="19" fillId="4" fontId="4" numFmtId="0" xfId="0" applyAlignment="1" applyBorder="1" applyFont="1">
      <alignment vertical="center"/>
    </xf>
    <xf borderId="20" fillId="4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vertical="center"/>
    </xf>
    <xf borderId="20" fillId="4" fontId="4" numFmtId="0" xfId="0" applyAlignment="1" applyBorder="1" applyFont="1">
      <alignment horizontal="center" vertical="center"/>
    </xf>
    <xf borderId="3" fillId="4" fontId="4" numFmtId="0" xfId="0" applyAlignment="1" applyBorder="1" applyFont="1">
      <alignment horizontal="center" vertical="center"/>
    </xf>
    <xf borderId="4" fillId="4" fontId="4" numFmtId="0" xfId="0" applyBorder="1" applyFont="1"/>
    <xf borderId="21" fillId="4" fontId="4" numFmtId="0" xfId="0" applyAlignment="1" applyBorder="1" applyFont="1">
      <alignment horizontal="left" shrinkToFit="0" vertical="center" wrapText="1"/>
    </xf>
    <xf borderId="5" fillId="4" fontId="4" numFmtId="0" xfId="0" applyBorder="1" applyFont="1"/>
    <xf borderId="14" fillId="4" fontId="4" numFmtId="0" xfId="0" applyAlignment="1" applyBorder="1" applyFont="1">
      <alignment horizontal="center"/>
    </xf>
    <xf borderId="22" fillId="4" fontId="4" numFmtId="0" xfId="0" applyBorder="1" applyFont="1"/>
    <xf borderId="23" fillId="3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center" vertical="center"/>
    </xf>
    <xf borderId="23" fillId="4" fontId="4" numFmtId="0" xfId="0" applyAlignment="1" applyBorder="1" applyFont="1">
      <alignment horizontal="center" vertical="center"/>
    </xf>
    <xf borderId="24" fillId="4" fontId="4" numFmtId="0" xfId="0" applyAlignment="1" applyBorder="1" applyFont="1">
      <alignment horizontal="center" vertical="center"/>
    </xf>
    <xf borderId="25" fillId="4" fontId="4" numFmtId="0" xfId="0" applyBorder="1" applyFont="1"/>
    <xf borderId="26" fillId="4" fontId="4" numFmtId="0" xfId="0" applyBorder="1" applyFont="1"/>
    <xf borderId="15" fillId="4" fontId="4" numFmtId="0" xfId="0" applyBorder="1" applyFont="1"/>
    <xf borderId="22" fillId="4" fontId="4" numFmtId="0" xfId="0" applyAlignment="1" applyBorder="1" applyFont="1">
      <alignment vertical="center"/>
    </xf>
    <xf borderId="26" fillId="4" fontId="4" numFmtId="0" xfId="0" applyAlignment="1" applyBorder="1" applyFont="1">
      <alignment shrinkToFit="0" wrapText="1"/>
    </xf>
    <xf borderId="27" fillId="4" fontId="4" numFmtId="0" xfId="0" applyBorder="1" applyFont="1"/>
    <xf borderId="28" fillId="3" fontId="4" numFmtId="0" xfId="0" applyAlignment="1" applyBorder="1" applyFont="1">
      <alignment horizontal="center" vertical="center"/>
    </xf>
    <xf borderId="28" fillId="4" fontId="4" numFmtId="0" xfId="0" applyAlignment="1" applyBorder="1" applyFont="1">
      <alignment horizontal="center" vertical="center"/>
    </xf>
    <xf borderId="29" fillId="4" fontId="4" numFmtId="0" xfId="0" applyAlignment="1" applyBorder="1" applyFont="1">
      <alignment horizontal="center" vertical="center"/>
    </xf>
    <xf borderId="30" fillId="4" fontId="4" numFmtId="0" xfId="0" applyBorder="1" applyFont="1"/>
    <xf borderId="19" fillId="5" fontId="4" numFmtId="0" xfId="0" applyAlignment="1" applyBorder="1" applyFill="1" applyFont="1">
      <alignment vertical="center"/>
    </xf>
    <xf borderId="20" fillId="3" fontId="4" numFmtId="0" xfId="0" applyAlignment="1" applyBorder="1" applyFont="1">
      <alignment horizontal="center" vertical="center"/>
    </xf>
    <xf borderId="20" fillId="5" fontId="4" numFmtId="0" xfId="0" applyAlignment="1" applyBorder="1" applyFont="1">
      <alignment horizontal="center" vertical="center"/>
    </xf>
    <xf borderId="31" fillId="4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shrinkToFit="0" wrapText="1"/>
    </xf>
    <xf borderId="22" fillId="5" fontId="4" numFmtId="0" xfId="0" applyAlignment="1" applyBorder="1" applyFont="1">
      <alignment vertical="center"/>
    </xf>
    <xf borderId="23" fillId="3" fontId="6" numFmtId="0" xfId="0" applyAlignment="1" applyBorder="1" applyFont="1">
      <alignment horizontal="center" vertical="center"/>
    </xf>
    <xf borderId="23" fillId="5" fontId="4" numFmtId="0" xfId="0" applyAlignment="1" applyBorder="1" applyFont="1">
      <alignment horizontal="center" vertical="center"/>
    </xf>
    <xf borderId="26" fillId="5" fontId="4" numFmtId="0" xfId="0" applyBorder="1" applyFont="1"/>
    <xf borderId="26" fillId="5" fontId="4" numFmtId="0" xfId="0" applyAlignment="1" applyBorder="1" applyFont="1">
      <alignment shrinkToFit="0" wrapText="1"/>
    </xf>
    <xf borderId="11" fillId="4" fontId="4" numFmtId="0" xfId="0" applyAlignment="1" applyBorder="1" applyFont="1">
      <alignment horizontal="center"/>
    </xf>
    <xf borderId="27" fillId="5" fontId="4" numFmtId="0" xfId="0" applyAlignment="1" applyBorder="1" applyFont="1">
      <alignment vertical="center"/>
    </xf>
    <xf borderId="28" fillId="5" fontId="4" numFmtId="0" xfId="0" applyAlignment="1" applyBorder="1" applyFont="1">
      <alignment horizontal="center" vertical="center"/>
    </xf>
    <xf borderId="32" fillId="4" fontId="4" numFmtId="0" xfId="0" applyAlignment="1" applyBorder="1" applyFont="1">
      <alignment horizontal="center" vertical="center"/>
    </xf>
    <xf borderId="33" fillId="4" fontId="4" numFmtId="0" xfId="0" applyBorder="1" applyFont="1"/>
    <xf borderId="30" fillId="5" fontId="4" numFmtId="0" xfId="0" applyAlignment="1" applyBorder="1" applyFont="1">
      <alignment shrinkToFit="0" wrapText="1"/>
    </xf>
    <xf borderId="13" fillId="4" fontId="4" numFmtId="0" xfId="0" applyBorder="1" applyFont="1"/>
    <xf borderId="16" fillId="2" fontId="4" numFmtId="0" xfId="0" applyAlignment="1" applyBorder="1" applyFont="1">
      <alignment horizontal="center"/>
    </xf>
    <xf borderId="17" fillId="2" fontId="4" numFmtId="0" xfId="0" applyAlignment="1" applyBorder="1" applyFont="1">
      <alignment vertical="center"/>
    </xf>
    <xf borderId="34" fillId="2" fontId="4" numFmtId="0" xfId="0" applyBorder="1" applyFont="1"/>
    <xf borderId="1" fillId="6" fontId="4" numFmtId="0" xfId="0" applyAlignment="1" applyBorder="1" applyFill="1" applyFont="1">
      <alignment horizontal="center"/>
    </xf>
    <xf borderId="19" fillId="6" fontId="4" numFmtId="0" xfId="0" applyAlignment="1" applyBorder="1" applyFont="1">
      <alignment vertical="center"/>
    </xf>
    <xf borderId="20" fillId="6" fontId="8" numFmtId="0" xfId="0" applyAlignment="1" applyBorder="1" applyFont="1">
      <alignment horizontal="center" shrinkToFit="0" vertical="center" wrapText="1"/>
    </xf>
    <xf borderId="20" fillId="6" fontId="4" numFmtId="0" xfId="0" applyAlignment="1" applyBorder="1" applyFont="1">
      <alignment horizontal="center" vertical="center"/>
    </xf>
    <xf borderId="31" fillId="6" fontId="4" numFmtId="0" xfId="0" applyAlignment="1" applyBorder="1" applyFont="1">
      <alignment horizontal="center" vertical="center"/>
    </xf>
    <xf borderId="4" fillId="6" fontId="4" numFmtId="0" xfId="0" applyBorder="1" applyFont="1"/>
    <xf borderId="21" fillId="6" fontId="4" numFmtId="0" xfId="0" applyAlignment="1" applyBorder="1" applyFont="1">
      <alignment shrinkToFit="0" vertical="center" wrapText="1"/>
    </xf>
    <xf borderId="5" fillId="6" fontId="4" numFmtId="0" xfId="0" applyBorder="1" applyFont="1"/>
    <xf borderId="14" fillId="6" fontId="4" numFmtId="0" xfId="0" applyAlignment="1" applyBorder="1" applyFont="1">
      <alignment horizontal="center"/>
    </xf>
    <xf borderId="22" fillId="6" fontId="4" numFmtId="0" xfId="0" applyBorder="1" applyFont="1"/>
    <xf borderId="23" fillId="6" fontId="4" numFmtId="0" xfId="0" applyAlignment="1" applyBorder="1" applyFont="1">
      <alignment horizontal="center" vertical="center"/>
    </xf>
    <xf borderId="24" fillId="6" fontId="4" numFmtId="0" xfId="0" applyAlignment="1" applyBorder="1" applyFont="1">
      <alignment horizontal="center" vertical="center"/>
    </xf>
    <xf borderId="25" fillId="6" fontId="4" numFmtId="0" xfId="0" applyBorder="1" applyFont="1"/>
    <xf borderId="26" fillId="6" fontId="4" numFmtId="0" xfId="0" applyBorder="1" applyFont="1"/>
    <xf borderId="15" fillId="6" fontId="4" numFmtId="0" xfId="0" applyBorder="1" applyFont="1"/>
    <xf borderId="14" fillId="6" fontId="4" numFmtId="0" xfId="0" applyBorder="1" applyFont="1"/>
    <xf borderId="11" fillId="6" fontId="4" numFmtId="0" xfId="0" applyBorder="1" applyFont="1"/>
    <xf borderId="27" fillId="6" fontId="4" numFmtId="0" xfId="0" applyBorder="1" applyFont="1"/>
    <xf borderId="28" fillId="6" fontId="4" numFmtId="0" xfId="0" applyAlignment="1" applyBorder="1" applyFont="1">
      <alignment horizontal="center" vertical="center"/>
    </xf>
    <xf borderId="32" fillId="6" fontId="4" numFmtId="0" xfId="0" applyAlignment="1" applyBorder="1" applyFont="1">
      <alignment horizontal="center" vertical="center"/>
    </xf>
    <xf borderId="33" fillId="6" fontId="4" numFmtId="0" xfId="0" applyBorder="1" applyFont="1"/>
    <xf borderId="30" fillId="6" fontId="4" numFmtId="0" xfId="0" applyAlignment="1" applyBorder="1" applyFont="1">
      <alignment shrinkToFit="0" wrapText="1"/>
    </xf>
    <xf borderId="13" fillId="6" fontId="4" numFmtId="0" xfId="0" applyBorder="1" applyFont="1"/>
    <xf borderId="1" fillId="6" fontId="4" numFmtId="0" xfId="0" applyBorder="1" applyFont="1"/>
    <xf borderId="19" fillId="7" fontId="4" numFmtId="0" xfId="0" applyAlignment="1" applyBorder="1" applyFill="1" applyFont="1">
      <alignment horizontal="left" vertical="center"/>
    </xf>
    <xf borderId="20" fillId="7" fontId="4" numFmtId="0" xfId="0" applyAlignment="1" applyBorder="1" applyFont="1">
      <alignment horizontal="center" vertical="center"/>
    </xf>
    <xf borderId="31" fillId="7" fontId="4" numFmtId="0" xfId="0" applyAlignment="1" applyBorder="1" applyFont="1">
      <alignment horizontal="center" vertical="center"/>
    </xf>
    <xf borderId="21" fillId="7" fontId="4" numFmtId="0" xfId="0" applyAlignment="1" applyBorder="1" applyFont="1">
      <alignment shrinkToFit="0" wrapText="1"/>
    </xf>
    <xf borderId="22" fillId="7" fontId="4" numFmtId="0" xfId="0" applyAlignment="1" applyBorder="1" applyFont="1">
      <alignment horizontal="left" vertical="center"/>
    </xf>
    <xf borderId="23" fillId="7" fontId="4" numFmtId="0" xfId="0" applyAlignment="1" applyBorder="1" applyFont="1">
      <alignment horizontal="center" vertical="center"/>
    </xf>
    <xf borderId="24" fillId="7" fontId="4" numFmtId="0" xfId="0" applyAlignment="1" applyBorder="1" applyFont="1">
      <alignment horizontal="center" vertical="center"/>
    </xf>
    <xf borderId="26" fillId="7" fontId="4" numFmtId="0" xfId="0" applyBorder="1" applyFont="1"/>
    <xf borderId="27" fillId="7" fontId="4" numFmtId="0" xfId="0" applyAlignment="1" applyBorder="1" applyFont="1">
      <alignment horizontal="left" vertical="center"/>
    </xf>
    <xf borderId="28" fillId="7" fontId="4" numFmtId="0" xfId="0" applyAlignment="1" applyBorder="1" applyFont="1">
      <alignment horizontal="center" vertical="center"/>
    </xf>
    <xf borderId="32" fillId="7" fontId="4" numFmtId="0" xfId="0" applyAlignment="1" applyBorder="1" applyFont="1">
      <alignment horizontal="center" vertical="center"/>
    </xf>
    <xf borderId="30" fillId="7" fontId="4" numFmtId="0" xfId="0" applyAlignment="1" applyBorder="1" applyFont="1">
      <alignment shrinkToFit="0" vertical="center" wrapText="1"/>
    </xf>
    <xf borderId="1" fillId="2" fontId="4" numFmtId="0" xfId="0" applyBorder="1" applyFont="1"/>
    <xf borderId="20" fillId="2" fontId="4" numFmtId="0" xfId="0" applyBorder="1" applyFont="1"/>
    <xf borderId="2" fillId="2" fontId="4" numFmtId="0" xfId="0" applyAlignment="1" applyBorder="1" applyFont="1">
      <alignment horizontal="center"/>
    </xf>
    <xf borderId="20" fillId="2" fontId="4" numFmtId="0" xfId="0" applyAlignment="1" applyBorder="1" applyFont="1">
      <alignment horizontal="center"/>
    </xf>
    <xf borderId="4" fillId="2" fontId="4" numFmtId="0" xfId="0" applyBorder="1" applyFont="1"/>
    <xf borderId="11" fillId="2" fontId="4" numFmtId="0" xfId="0" applyBorder="1" applyFont="1"/>
    <xf borderId="28" fillId="2" fontId="4" numFmtId="0" xfId="0" applyBorder="1" applyFont="1"/>
    <xf borderId="28" fillId="3" fontId="6" numFmtId="0" xfId="0" applyAlignment="1" applyBorder="1" applyFont="1">
      <alignment horizontal="center" vertical="center"/>
    </xf>
    <xf borderId="28" fillId="2" fontId="4" numFmtId="0" xfId="0" applyAlignment="1" applyBorder="1" applyFont="1">
      <alignment horizontal="center"/>
    </xf>
    <xf borderId="33" fillId="2" fontId="4" numFmtId="0" xfId="0" applyBorder="1" applyFont="1"/>
    <xf borderId="28" fillId="2" fontId="4" numFmtId="0" xfId="0" applyAlignment="1" applyBorder="1" applyFont="1">
      <alignment shrinkToFit="0" wrapText="1"/>
    </xf>
    <xf borderId="0" fillId="0" fontId="4" numFmtId="0" xfId="0" applyFont="1"/>
    <xf borderId="16" fillId="2" fontId="4" numFmtId="0" xfId="0" applyBorder="1" applyFont="1"/>
    <xf borderId="7" fillId="2" fontId="6" numFmtId="0" xfId="0" applyBorder="1" applyFont="1"/>
    <xf borderId="7" fillId="3" fontId="6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/>
    </xf>
    <xf borderId="7" fillId="2" fontId="6" numFmtId="0" xfId="0" applyAlignment="1" applyBorder="1" applyFont="1">
      <alignment horizontal="center"/>
    </xf>
    <xf borderId="16" fillId="2" fontId="6" numFmtId="0" xfId="0" applyBorder="1" applyFont="1"/>
    <xf borderId="35" fillId="0" fontId="4" numFmtId="0" xfId="0" applyAlignment="1" applyBorder="1" applyFont="1">
      <alignment horizontal="center"/>
    </xf>
    <xf borderId="36" fillId="0" fontId="4" numFmtId="0" xfId="0" applyAlignment="1" applyBorder="1" applyFont="1">
      <alignment horizontal="center"/>
    </xf>
    <xf borderId="37" fillId="0" fontId="4" numFmtId="0" xfId="0" applyAlignment="1" applyBorder="1" applyFont="1">
      <alignment horizontal="center"/>
    </xf>
    <xf borderId="38" fillId="0" fontId="7" numFmtId="0" xfId="0" applyAlignment="1" applyBorder="1" applyFont="1">
      <alignment horizontal="center"/>
    </xf>
    <xf borderId="39" fillId="0" fontId="7" numFmtId="1" xfId="0" applyAlignment="1" applyBorder="1" applyFont="1" applyNumberFormat="1">
      <alignment horizontal="center"/>
    </xf>
    <xf borderId="0" fillId="0" fontId="1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.71"/>
    <col customWidth="1" min="3" max="3" width="28.71"/>
    <col customWidth="1" min="4" max="5" width="6.57"/>
    <col customWidth="1" min="6" max="6" width="8.14"/>
    <col customWidth="1" min="7" max="7" width="6.0"/>
    <col customWidth="1" min="8" max="8" width="3.71"/>
    <col customWidth="1" min="9" max="9" width="109.0"/>
    <col customWidth="1" min="10" max="10" width="4.43"/>
    <col customWidth="1" min="11" max="26" width="9.14"/>
  </cols>
  <sheetData>
    <row r="1" ht="14.25" customHeight="1">
      <c r="A1" s="1" t="s">
        <v>0</v>
      </c>
      <c r="B1" s="2"/>
      <c r="C1" s="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/>
      <c r="I1" s="2" t="s">
        <v>6</v>
      </c>
      <c r="J1" s="3"/>
    </row>
    <row r="2" ht="14.25" customHeight="1">
      <c r="A2" s="4" t="s">
        <v>7</v>
      </c>
      <c r="B2" s="5"/>
      <c r="C2" s="6" t="s">
        <v>8</v>
      </c>
      <c r="D2" s="7"/>
      <c r="E2" s="8"/>
      <c r="F2" s="9" t="s">
        <v>9</v>
      </c>
      <c r="G2" s="10" t="s">
        <v>10</v>
      </c>
      <c r="H2" s="11"/>
      <c r="I2" s="12" t="s">
        <v>11</v>
      </c>
      <c r="J2" s="13"/>
    </row>
    <row r="3" ht="14.25" customHeight="1">
      <c r="A3" s="14">
        <v>1.0</v>
      </c>
      <c r="B3" s="15"/>
      <c r="C3" s="16" t="s">
        <v>12</v>
      </c>
      <c r="D3" s="17" t="s">
        <v>13</v>
      </c>
      <c r="E3" s="18"/>
      <c r="F3" s="18"/>
      <c r="G3" s="18"/>
      <c r="H3" s="19"/>
      <c r="I3" s="20" t="s">
        <v>14</v>
      </c>
      <c r="J3" s="21"/>
    </row>
    <row r="4" ht="14.25" customHeight="1">
      <c r="A4" s="14">
        <v>2.0</v>
      </c>
      <c r="B4" s="22"/>
      <c r="C4" s="23" t="s">
        <v>15</v>
      </c>
      <c r="D4" s="24">
        <v>1.0</v>
      </c>
      <c r="E4" s="25" t="str">
        <f t="shared" ref="E4:E5" si="1"> DEC2HEX(D4)</f>
        <v>1</v>
      </c>
      <c r="F4" s="25">
        <v>1.0</v>
      </c>
      <c r="G4" s="10" t="s">
        <v>10</v>
      </c>
      <c r="H4" s="26"/>
      <c r="I4" s="27" t="s">
        <v>16</v>
      </c>
      <c r="J4" s="28"/>
    </row>
    <row r="5" ht="14.25" customHeight="1">
      <c r="A5" s="14">
        <v>3.0</v>
      </c>
      <c r="B5" s="29"/>
      <c r="C5" s="30" t="s">
        <v>17</v>
      </c>
      <c r="D5" s="31"/>
      <c r="E5" s="25" t="str">
        <f t="shared" si="1"/>
        <v>0</v>
      </c>
      <c r="F5" s="32">
        <v>1.0</v>
      </c>
      <c r="G5" s="33" t="s">
        <v>10</v>
      </c>
      <c r="H5" s="34"/>
      <c r="I5" s="35" t="s">
        <v>18</v>
      </c>
      <c r="J5" s="34"/>
    </row>
    <row r="6" ht="14.25" customHeight="1">
      <c r="A6" s="36"/>
      <c r="E6" s="37"/>
    </row>
    <row r="7" ht="14.25" customHeight="1">
      <c r="A7" s="36"/>
      <c r="E7" s="37"/>
    </row>
    <row r="8" ht="14.25" customHeight="1">
      <c r="A8" s="36"/>
      <c r="B8" s="38"/>
      <c r="C8" s="39" t="s">
        <v>19</v>
      </c>
      <c r="D8" s="40" t="s">
        <v>20</v>
      </c>
      <c r="E8" s="41"/>
      <c r="F8" s="42">
        <v>2.0</v>
      </c>
      <c r="G8" s="43" t="s">
        <v>10</v>
      </c>
      <c r="H8" s="44"/>
      <c r="I8" s="45" t="s">
        <v>21</v>
      </c>
      <c r="J8" s="46"/>
    </row>
    <row r="9" ht="14.25" customHeight="1">
      <c r="A9" s="36"/>
      <c r="B9" s="47"/>
      <c r="C9" s="48" t="s">
        <v>22</v>
      </c>
      <c r="D9" s="49"/>
      <c r="E9" s="50" t="str">
        <f t="shared" ref="E9:E18" si="2"> DEC2HEX(D9)</f>
        <v>0</v>
      </c>
      <c r="F9" s="51">
        <v>2.0</v>
      </c>
      <c r="G9" s="52" t="s">
        <v>10</v>
      </c>
      <c r="H9" s="53"/>
      <c r="I9" s="54" t="s">
        <v>23</v>
      </c>
      <c r="J9" s="55"/>
    </row>
    <row r="10" ht="14.25" customHeight="1">
      <c r="A10" s="36"/>
      <c r="B10" s="47"/>
      <c r="C10" s="48" t="s">
        <v>24</v>
      </c>
      <c r="D10" s="49"/>
      <c r="E10" s="50" t="str">
        <f t="shared" si="2"/>
        <v>0</v>
      </c>
      <c r="F10" s="51">
        <v>1.0</v>
      </c>
      <c r="G10" s="52" t="s">
        <v>10</v>
      </c>
      <c r="H10" s="53"/>
      <c r="I10" s="54" t="s">
        <v>25</v>
      </c>
      <c r="J10" s="55"/>
    </row>
    <row r="11" ht="14.25" customHeight="1">
      <c r="A11" s="36"/>
      <c r="B11" s="47"/>
      <c r="C11" s="56" t="s">
        <v>26</v>
      </c>
      <c r="D11" s="49"/>
      <c r="E11" s="50" t="str">
        <f t="shared" si="2"/>
        <v>0</v>
      </c>
      <c r="F11" s="51">
        <v>1.0</v>
      </c>
      <c r="G11" s="52" t="s">
        <v>10</v>
      </c>
      <c r="H11" s="53"/>
      <c r="I11" s="57" t="s">
        <v>27</v>
      </c>
      <c r="J11" s="55"/>
    </row>
    <row r="12" ht="14.25" customHeight="1">
      <c r="A12" s="36"/>
      <c r="B12" s="47"/>
      <c r="C12" s="58" t="s">
        <v>28</v>
      </c>
      <c r="D12" s="59"/>
      <c r="E12" s="25" t="str">
        <f t="shared" si="2"/>
        <v>0</v>
      </c>
      <c r="F12" s="60">
        <v>1.0</v>
      </c>
      <c r="G12" s="61" t="s">
        <v>10</v>
      </c>
      <c r="H12" s="53"/>
      <c r="I12" s="62" t="s">
        <v>29</v>
      </c>
      <c r="J12" s="55"/>
    </row>
    <row r="13" ht="14.25" customHeight="1">
      <c r="A13" s="36"/>
      <c r="B13" s="47"/>
      <c r="C13" s="63" t="s">
        <v>30</v>
      </c>
      <c r="D13" s="64"/>
      <c r="E13" s="9" t="str">
        <f t="shared" si="2"/>
        <v>0</v>
      </c>
      <c r="F13" s="65">
        <v>1.0</v>
      </c>
      <c r="G13" s="66" t="s">
        <v>10</v>
      </c>
      <c r="H13" s="53"/>
      <c r="I13" s="67" t="s">
        <v>31</v>
      </c>
      <c r="J13" s="55"/>
    </row>
    <row r="14" ht="14.25" customHeight="1">
      <c r="A14" s="36"/>
      <c r="B14" s="47"/>
      <c r="C14" s="68" t="s">
        <v>32</v>
      </c>
      <c r="D14" s="69">
        <v>0.0</v>
      </c>
      <c r="E14" s="50" t="str">
        <f t="shared" si="2"/>
        <v>0</v>
      </c>
      <c r="F14" s="70">
        <v>1.0</v>
      </c>
      <c r="G14" s="52" t="s">
        <v>10</v>
      </c>
      <c r="H14" s="53"/>
      <c r="I14" s="71" t="s">
        <v>33</v>
      </c>
      <c r="J14" s="55"/>
    </row>
    <row r="15" ht="14.25" customHeight="1">
      <c r="A15" s="36"/>
      <c r="B15" s="47"/>
      <c r="C15" s="68" t="s">
        <v>34</v>
      </c>
      <c r="D15" s="49"/>
      <c r="E15" s="50" t="str">
        <f t="shared" si="2"/>
        <v>0</v>
      </c>
      <c r="F15" s="70">
        <v>2.0</v>
      </c>
      <c r="G15" s="52" t="s">
        <v>10</v>
      </c>
      <c r="H15" s="53"/>
      <c r="I15" s="72" t="s">
        <v>35</v>
      </c>
      <c r="J15" s="55"/>
    </row>
    <row r="16" ht="14.25" customHeight="1">
      <c r="A16" s="36"/>
      <c r="B16" s="47"/>
      <c r="C16" s="68" t="s">
        <v>36</v>
      </c>
      <c r="D16" s="49"/>
      <c r="E16" s="50" t="str">
        <f t="shared" si="2"/>
        <v>0</v>
      </c>
      <c r="F16" s="70">
        <v>1.0</v>
      </c>
      <c r="G16" s="52" t="s">
        <v>10</v>
      </c>
      <c r="H16" s="53"/>
      <c r="I16" s="71" t="s">
        <v>37</v>
      </c>
      <c r="J16" s="55"/>
    </row>
    <row r="17" ht="14.25" customHeight="1">
      <c r="A17" s="36"/>
      <c r="B17" s="47"/>
      <c r="C17" s="68" t="s">
        <v>38</v>
      </c>
      <c r="D17" s="49"/>
      <c r="E17" s="50" t="str">
        <f t="shared" si="2"/>
        <v>0</v>
      </c>
      <c r="F17" s="70">
        <v>1.0</v>
      </c>
      <c r="G17" s="52" t="s">
        <v>10</v>
      </c>
      <c r="H17" s="53"/>
      <c r="I17" s="72" t="s">
        <v>39</v>
      </c>
      <c r="J17" s="55"/>
    </row>
    <row r="18" ht="14.25" customHeight="1">
      <c r="A18" s="36"/>
      <c r="B18" s="73"/>
      <c r="C18" s="74" t="s">
        <v>40</v>
      </c>
      <c r="D18" s="59"/>
      <c r="E18" s="25" t="str">
        <f t="shared" si="2"/>
        <v>0</v>
      </c>
      <c r="F18" s="75">
        <v>1.0</v>
      </c>
      <c r="G18" s="76" t="s">
        <v>10</v>
      </c>
      <c r="H18" s="77"/>
      <c r="I18" s="78" t="s">
        <v>41</v>
      </c>
      <c r="J18" s="79"/>
    </row>
    <row r="19" ht="14.25" customHeight="1">
      <c r="A19" s="36"/>
      <c r="E19" s="37"/>
    </row>
    <row r="20" ht="14.25" customHeight="1">
      <c r="A20" s="36"/>
      <c r="E20" s="37"/>
    </row>
    <row r="21" ht="14.25" customHeight="1">
      <c r="A21" s="36"/>
      <c r="B21" s="38"/>
      <c r="C21" s="63" t="s">
        <v>30</v>
      </c>
      <c r="D21" s="64"/>
      <c r="E21" s="9" t="str">
        <f t="shared" ref="E21:E26" si="3"> DEC2HEX(D21)</f>
        <v>0</v>
      </c>
      <c r="F21" s="65">
        <v>1.0</v>
      </c>
      <c r="G21" s="66" t="s">
        <v>10</v>
      </c>
      <c r="H21" s="44"/>
      <c r="I21" s="67" t="s">
        <v>42</v>
      </c>
      <c r="J21" s="46"/>
    </row>
    <row r="22" ht="14.25" customHeight="1">
      <c r="A22" s="36"/>
      <c r="B22" s="47"/>
      <c r="C22" s="68" t="s">
        <v>32</v>
      </c>
      <c r="D22" s="69">
        <v>0.0</v>
      </c>
      <c r="E22" s="50" t="str">
        <f t="shared" si="3"/>
        <v>0</v>
      </c>
      <c r="F22" s="70">
        <v>1.0</v>
      </c>
      <c r="G22" s="52" t="s">
        <v>10</v>
      </c>
      <c r="H22" s="53"/>
      <c r="I22" s="71" t="s">
        <v>33</v>
      </c>
      <c r="J22" s="55"/>
    </row>
    <row r="23" ht="14.25" customHeight="1">
      <c r="A23" s="36"/>
      <c r="B23" s="47"/>
      <c r="C23" s="68" t="s">
        <v>34</v>
      </c>
      <c r="D23" s="49"/>
      <c r="E23" s="50" t="str">
        <f t="shared" si="3"/>
        <v>0</v>
      </c>
      <c r="F23" s="70">
        <v>2.0</v>
      </c>
      <c r="G23" s="52" t="s">
        <v>10</v>
      </c>
      <c r="H23" s="53"/>
      <c r="I23" s="72" t="s">
        <v>35</v>
      </c>
      <c r="J23" s="55"/>
    </row>
    <row r="24" ht="14.25" customHeight="1">
      <c r="A24" s="36"/>
      <c r="B24" s="47"/>
      <c r="C24" s="68" t="s">
        <v>36</v>
      </c>
      <c r="D24" s="49"/>
      <c r="E24" s="50" t="str">
        <f t="shared" si="3"/>
        <v>0</v>
      </c>
      <c r="F24" s="70">
        <v>1.0</v>
      </c>
      <c r="G24" s="52" t="s">
        <v>10</v>
      </c>
      <c r="H24" s="53"/>
      <c r="I24" s="71" t="s">
        <v>37</v>
      </c>
      <c r="J24" s="55"/>
    </row>
    <row r="25" ht="14.25" customHeight="1">
      <c r="A25" s="36"/>
      <c r="B25" s="47"/>
      <c r="C25" s="68" t="s">
        <v>38</v>
      </c>
      <c r="D25" s="49"/>
      <c r="E25" s="50" t="str">
        <f t="shared" si="3"/>
        <v>0</v>
      </c>
      <c r="F25" s="70">
        <v>1.0</v>
      </c>
      <c r="G25" s="52" t="s">
        <v>10</v>
      </c>
      <c r="H25" s="53"/>
      <c r="I25" s="72" t="s">
        <v>39</v>
      </c>
      <c r="J25" s="55"/>
    </row>
    <row r="26" ht="14.25" customHeight="1">
      <c r="A26" s="36"/>
      <c r="B26" s="73"/>
      <c r="C26" s="74" t="s">
        <v>40</v>
      </c>
      <c r="D26" s="59"/>
      <c r="E26" s="25" t="str">
        <f t="shared" si="3"/>
        <v>0</v>
      </c>
      <c r="F26" s="75">
        <v>1.0</v>
      </c>
      <c r="G26" s="76" t="s">
        <v>10</v>
      </c>
      <c r="H26" s="77"/>
      <c r="I26" s="78" t="s">
        <v>41</v>
      </c>
      <c r="J26" s="79"/>
    </row>
    <row r="27" ht="14.25" customHeight="1">
      <c r="A27" s="36"/>
      <c r="E27" s="37"/>
    </row>
    <row r="28" ht="14.25" customHeight="1">
      <c r="A28" s="36"/>
      <c r="E28" s="37"/>
    </row>
    <row r="29" ht="14.25" customHeight="1">
      <c r="A29" s="36"/>
      <c r="B29" s="80"/>
      <c r="C29" s="30" t="s">
        <v>43</v>
      </c>
      <c r="D29" s="31"/>
      <c r="E29" s="32" t="str">
        <f> DEC2HEX(D29)</f>
        <v>0</v>
      </c>
      <c r="F29" s="32">
        <v>1.0</v>
      </c>
      <c r="G29" s="81"/>
      <c r="H29" s="82"/>
      <c r="I29" s="35" t="s">
        <v>44</v>
      </c>
      <c r="J29" s="34"/>
    </row>
    <row r="30" ht="14.25" customHeight="1">
      <c r="A30" s="36"/>
      <c r="B30" s="83"/>
      <c r="C30" s="84" t="s">
        <v>45</v>
      </c>
      <c r="D30" s="85" t="s">
        <v>20</v>
      </c>
      <c r="E30" s="41"/>
      <c r="F30" s="86">
        <v>2.0</v>
      </c>
      <c r="G30" s="87" t="s">
        <v>10</v>
      </c>
      <c r="H30" s="88"/>
      <c r="I30" s="89" t="s">
        <v>46</v>
      </c>
      <c r="J30" s="90"/>
    </row>
    <row r="31" ht="14.25" customHeight="1">
      <c r="A31" s="36"/>
      <c r="B31" s="91"/>
      <c r="C31" s="92" t="s">
        <v>47</v>
      </c>
      <c r="D31" s="49"/>
      <c r="E31" s="50" t="str">
        <f t="shared" ref="E31:E40" si="4"> DEC2HEX(D31)</f>
        <v>0</v>
      </c>
      <c r="F31" s="93">
        <v>2.0</v>
      </c>
      <c r="G31" s="94" t="s">
        <v>10</v>
      </c>
      <c r="H31" s="95"/>
      <c r="I31" s="96" t="s">
        <v>48</v>
      </c>
      <c r="J31" s="97"/>
    </row>
    <row r="32" ht="14.25" customHeight="1">
      <c r="A32" s="36"/>
      <c r="B32" s="91"/>
      <c r="C32" s="92" t="s">
        <v>24</v>
      </c>
      <c r="D32" s="49"/>
      <c r="E32" s="50" t="str">
        <f t="shared" si="4"/>
        <v>0</v>
      </c>
      <c r="F32" s="93">
        <v>1.0</v>
      </c>
      <c r="G32" s="94" t="s">
        <v>10</v>
      </c>
      <c r="H32" s="95"/>
      <c r="I32" s="96" t="s">
        <v>25</v>
      </c>
      <c r="J32" s="97"/>
    </row>
    <row r="33" ht="14.25" customHeight="1">
      <c r="A33" s="36"/>
      <c r="B33" s="98"/>
      <c r="C33" s="92" t="s">
        <v>49</v>
      </c>
      <c r="D33" s="69">
        <v>0.0</v>
      </c>
      <c r="E33" s="50" t="str">
        <f t="shared" si="4"/>
        <v>0</v>
      </c>
      <c r="F33" s="93">
        <v>1.0</v>
      </c>
      <c r="G33" s="94" t="s">
        <v>10</v>
      </c>
      <c r="H33" s="95"/>
      <c r="I33" s="96" t="s">
        <v>33</v>
      </c>
      <c r="J33" s="97"/>
    </row>
    <row r="34" ht="14.25" customHeight="1">
      <c r="A34" s="36"/>
      <c r="B34" s="99"/>
      <c r="C34" s="100" t="s">
        <v>50</v>
      </c>
      <c r="D34" s="59"/>
      <c r="E34" s="25" t="str">
        <f t="shared" si="4"/>
        <v>0</v>
      </c>
      <c r="F34" s="101">
        <v>1.0</v>
      </c>
      <c r="G34" s="102" t="s">
        <v>10</v>
      </c>
      <c r="H34" s="103"/>
      <c r="I34" s="104" t="s">
        <v>51</v>
      </c>
      <c r="J34" s="105"/>
    </row>
    <row r="35" ht="14.25" customHeight="1">
      <c r="A35" s="36"/>
      <c r="B35" s="106"/>
      <c r="C35" s="107" t="s">
        <v>30</v>
      </c>
      <c r="D35" s="64"/>
      <c r="E35" s="9" t="str">
        <f t="shared" si="4"/>
        <v>0</v>
      </c>
      <c r="F35" s="108">
        <v>1.0</v>
      </c>
      <c r="G35" s="109" t="s">
        <v>10</v>
      </c>
      <c r="H35" s="88"/>
      <c r="I35" s="110" t="s">
        <v>52</v>
      </c>
      <c r="J35" s="90"/>
    </row>
    <row r="36" ht="14.25" customHeight="1">
      <c r="A36" s="36"/>
      <c r="B36" s="98"/>
      <c r="C36" s="111" t="s">
        <v>32</v>
      </c>
      <c r="D36" s="69">
        <v>0.0</v>
      </c>
      <c r="E36" s="50" t="str">
        <f t="shared" si="4"/>
        <v>0</v>
      </c>
      <c r="F36" s="112">
        <v>1.0</v>
      </c>
      <c r="G36" s="113" t="s">
        <v>10</v>
      </c>
      <c r="H36" s="95"/>
      <c r="I36" s="114" t="s">
        <v>33</v>
      </c>
      <c r="J36" s="97"/>
    </row>
    <row r="37" ht="14.25" customHeight="1">
      <c r="B37" s="98"/>
      <c r="C37" s="111" t="s">
        <v>34</v>
      </c>
      <c r="D37" s="49"/>
      <c r="E37" s="50" t="str">
        <f t="shared" si="4"/>
        <v>0</v>
      </c>
      <c r="F37" s="112">
        <v>2.0</v>
      </c>
      <c r="G37" s="113" t="s">
        <v>10</v>
      </c>
      <c r="H37" s="95"/>
      <c r="I37" s="114" t="s">
        <v>35</v>
      </c>
      <c r="J37" s="97"/>
    </row>
    <row r="38" ht="14.25" customHeight="1">
      <c r="B38" s="98"/>
      <c r="C38" s="111" t="s">
        <v>36</v>
      </c>
      <c r="D38" s="49"/>
      <c r="E38" s="50" t="str">
        <f t="shared" si="4"/>
        <v>0</v>
      </c>
      <c r="F38" s="112">
        <v>1.0</v>
      </c>
      <c r="G38" s="113" t="s">
        <v>10</v>
      </c>
      <c r="H38" s="95"/>
      <c r="I38" s="114" t="s">
        <v>37</v>
      </c>
      <c r="J38" s="97"/>
    </row>
    <row r="39" ht="14.25" customHeight="1">
      <c r="B39" s="98"/>
      <c r="C39" s="111" t="s">
        <v>38</v>
      </c>
      <c r="D39" s="49"/>
      <c r="E39" s="50" t="str">
        <f t="shared" si="4"/>
        <v>0</v>
      </c>
      <c r="F39" s="112">
        <v>1.0</v>
      </c>
      <c r="G39" s="113" t="s">
        <v>10</v>
      </c>
      <c r="H39" s="95"/>
      <c r="I39" s="114" t="s">
        <v>39</v>
      </c>
      <c r="J39" s="97"/>
    </row>
    <row r="40" ht="14.25" customHeight="1">
      <c r="B40" s="99"/>
      <c r="C40" s="115" t="s">
        <v>53</v>
      </c>
      <c r="D40" s="59"/>
      <c r="E40" s="25" t="str">
        <f t="shared" si="4"/>
        <v>0</v>
      </c>
      <c r="F40" s="116">
        <v>1.0</v>
      </c>
      <c r="G40" s="117" t="s">
        <v>10</v>
      </c>
      <c r="H40" s="103"/>
      <c r="I40" s="118" t="s">
        <v>54</v>
      </c>
      <c r="J40" s="105"/>
    </row>
    <row r="41" ht="14.25" customHeight="1"/>
    <row r="42" ht="14.25" customHeight="1"/>
    <row r="43" ht="14.25" customHeight="1">
      <c r="B43" s="106"/>
      <c r="C43" s="107" t="s">
        <v>30</v>
      </c>
      <c r="D43" s="64"/>
      <c r="E43" s="9" t="str">
        <f t="shared" ref="E43:E48" si="5"> DEC2HEX(D43)</f>
        <v>0</v>
      </c>
      <c r="F43" s="108">
        <v>1.0</v>
      </c>
      <c r="G43" s="109" t="s">
        <v>10</v>
      </c>
      <c r="H43" s="88"/>
      <c r="I43" s="110" t="s">
        <v>55</v>
      </c>
      <c r="J43" s="90"/>
    </row>
    <row r="44" ht="14.25" customHeight="1">
      <c r="B44" s="98"/>
      <c r="C44" s="111" t="s">
        <v>32</v>
      </c>
      <c r="D44" s="69">
        <v>0.0</v>
      </c>
      <c r="E44" s="50" t="str">
        <f t="shared" si="5"/>
        <v>0</v>
      </c>
      <c r="F44" s="112">
        <v>1.0</v>
      </c>
      <c r="G44" s="113" t="s">
        <v>10</v>
      </c>
      <c r="H44" s="95"/>
      <c r="I44" s="114" t="s">
        <v>33</v>
      </c>
      <c r="J44" s="97"/>
    </row>
    <row r="45" ht="14.25" customHeight="1">
      <c r="B45" s="98"/>
      <c r="C45" s="111" t="s">
        <v>34</v>
      </c>
      <c r="D45" s="49"/>
      <c r="E45" s="50" t="str">
        <f t="shared" si="5"/>
        <v>0</v>
      </c>
      <c r="F45" s="112">
        <v>2.0</v>
      </c>
      <c r="G45" s="113" t="s">
        <v>10</v>
      </c>
      <c r="H45" s="95"/>
      <c r="I45" s="114" t="s">
        <v>35</v>
      </c>
      <c r="J45" s="97"/>
    </row>
    <row r="46" ht="14.25" customHeight="1">
      <c r="B46" s="98"/>
      <c r="C46" s="111" t="s">
        <v>36</v>
      </c>
      <c r="D46" s="49"/>
      <c r="E46" s="50" t="str">
        <f t="shared" si="5"/>
        <v>0</v>
      </c>
      <c r="F46" s="112">
        <v>1.0</v>
      </c>
      <c r="G46" s="113" t="s">
        <v>10</v>
      </c>
      <c r="H46" s="95"/>
      <c r="I46" s="114" t="s">
        <v>37</v>
      </c>
      <c r="J46" s="97"/>
    </row>
    <row r="47" ht="14.25" customHeight="1">
      <c r="B47" s="98"/>
      <c r="C47" s="111" t="s">
        <v>38</v>
      </c>
      <c r="D47" s="49"/>
      <c r="E47" s="50" t="str">
        <f t="shared" si="5"/>
        <v>0</v>
      </c>
      <c r="F47" s="112">
        <v>1.0</v>
      </c>
      <c r="G47" s="113" t="s">
        <v>10</v>
      </c>
      <c r="H47" s="95"/>
      <c r="I47" s="114" t="s">
        <v>39</v>
      </c>
      <c r="J47" s="97"/>
    </row>
    <row r="48" ht="14.25" customHeight="1">
      <c r="B48" s="99"/>
      <c r="C48" s="115" t="s">
        <v>53</v>
      </c>
      <c r="D48" s="59"/>
      <c r="E48" s="25" t="str">
        <f t="shared" si="5"/>
        <v>0</v>
      </c>
      <c r="F48" s="116">
        <v>1.0</v>
      </c>
      <c r="G48" s="117" t="s">
        <v>10</v>
      </c>
      <c r="H48" s="103"/>
      <c r="I48" s="118" t="s">
        <v>54</v>
      </c>
      <c r="J48" s="105"/>
    </row>
    <row r="49" ht="14.25" customHeight="1">
      <c r="E49" s="37"/>
    </row>
    <row r="50" ht="14.25" customHeight="1">
      <c r="E50" s="37"/>
    </row>
    <row r="51" ht="14.25" customHeight="1">
      <c r="B51" s="119"/>
      <c r="C51" s="120" t="s">
        <v>56</v>
      </c>
      <c r="D51" s="64"/>
      <c r="E51" s="121" t="str">
        <f t="shared" ref="E51:E52" si="6"> DEC2HEX(D51)</f>
        <v>0</v>
      </c>
      <c r="F51" s="122">
        <v>2.0</v>
      </c>
      <c r="G51" s="10" t="s">
        <v>10</v>
      </c>
      <c r="H51" s="123"/>
      <c r="I51" s="120" t="s">
        <v>57</v>
      </c>
      <c r="J51" s="13"/>
    </row>
    <row r="52" ht="14.25" customHeight="1">
      <c r="B52" s="124"/>
      <c r="C52" s="125" t="s">
        <v>58</v>
      </c>
      <c r="D52" s="126">
        <v>0.0</v>
      </c>
      <c r="E52" s="127" t="str">
        <f t="shared" si="6"/>
        <v>0</v>
      </c>
      <c r="F52" s="127">
        <v>1.0</v>
      </c>
      <c r="G52" s="33" t="s">
        <v>10</v>
      </c>
      <c r="H52" s="128"/>
      <c r="I52" s="129" t="s">
        <v>59</v>
      </c>
      <c r="J52" s="26"/>
    </row>
    <row r="53" ht="14.25" customHeight="1"/>
    <row r="54" ht="14.25" customHeight="1">
      <c r="B54" s="130"/>
      <c r="C54" s="130"/>
      <c r="D54" s="130"/>
      <c r="E54" s="130"/>
      <c r="F54" s="130"/>
      <c r="G54" s="130"/>
      <c r="H54" s="130"/>
      <c r="I54" s="130"/>
      <c r="J54" s="130"/>
    </row>
    <row r="55" ht="14.25" customHeight="1">
      <c r="B55" s="131"/>
      <c r="C55" s="132" t="s">
        <v>60</v>
      </c>
      <c r="D55" s="133">
        <v>0.0</v>
      </c>
      <c r="E55" s="134" t="str">
        <f> DEC2HEX(D55)</f>
        <v>0</v>
      </c>
      <c r="F55" s="135"/>
      <c r="G55" s="33" t="s">
        <v>10</v>
      </c>
      <c r="H55" s="82"/>
      <c r="I55" s="136" t="s">
        <v>61</v>
      </c>
      <c r="J55" s="34"/>
    </row>
    <row r="56" ht="14.25" customHeight="1"/>
    <row r="57" ht="14.25" customHeight="1"/>
    <row r="58" ht="14.25" customHeight="1">
      <c r="C58" s="137" t="s">
        <v>62</v>
      </c>
      <c r="D58" s="138"/>
      <c r="E58" s="138"/>
      <c r="F58" s="139">
        <f>SUM(F4:F57)</f>
        <v>48</v>
      </c>
    </row>
    <row r="59" ht="14.25" customHeight="1">
      <c r="C59" s="22" t="s">
        <v>63</v>
      </c>
      <c r="D59" s="140"/>
      <c r="E59" s="140"/>
      <c r="F59" s="141">
        <f> F58/2</f>
        <v>24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.71"/>
    <col customWidth="1" min="3" max="3" width="30.71"/>
    <col customWidth="1" min="4" max="5" width="6.57"/>
    <col customWidth="1" min="6" max="6" width="8.14"/>
    <col customWidth="1" min="7" max="7" width="6.0"/>
    <col customWidth="1" min="8" max="8" width="3.71"/>
    <col customWidth="1" min="9" max="9" width="109.0"/>
    <col customWidth="1" min="10" max="10" width="4.43"/>
    <col customWidth="1" min="11" max="26" width="9.14"/>
  </cols>
  <sheetData>
    <row r="1" ht="14.25" customHeight="1">
      <c r="A1" s="1" t="s">
        <v>0</v>
      </c>
      <c r="B1" s="2"/>
      <c r="C1" s="14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/>
      <c r="I1" s="2" t="s">
        <v>6</v>
      </c>
      <c r="J1" s="3"/>
    </row>
    <row r="2" ht="14.25" customHeight="1">
      <c r="A2" s="143" t="s">
        <v>7</v>
      </c>
      <c r="B2" s="5"/>
      <c r="C2" s="6" t="s">
        <v>8</v>
      </c>
      <c r="D2" s="7">
        <v>56.0</v>
      </c>
      <c r="E2" s="8"/>
      <c r="F2" s="9" t="s">
        <v>9</v>
      </c>
      <c r="G2" s="10" t="s">
        <v>10</v>
      </c>
      <c r="H2" s="11"/>
      <c r="I2" s="12" t="s">
        <v>11</v>
      </c>
      <c r="J2" s="13"/>
    </row>
    <row r="3" ht="14.25" customHeight="1">
      <c r="A3" s="143">
        <v>1.0</v>
      </c>
      <c r="B3" s="15"/>
      <c r="C3" s="16" t="s">
        <v>12</v>
      </c>
      <c r="D3" s="17" t="s">
        <v>13</v>
      </c>
      <c r="E3" s="18"/>
      <c r="F3" s="18"/>
      <c r="G3" s="18"/>
      <c r="H3" s="19"/>
      <c r="I3" s="20" t="s">
        <v>14</v>
      </c>
      <c r="J3" s="21"/>
    </row>
    <row r="4" ht="14.25" customHeight="1">
      <c r="A4" s="143">
        <v>2.0</v>
      </c>
      <c r="B4" s="22"/>
      <c r="C4" s="23" t="s">
        <v>15</v>
      </c>
      <c r="D4" s="24">
        <v>1.0</v>
      </c>
      <c r="E4" s="25" t="str">
        <f t="shared" ref="E4:E5" si="1"> DEC2HEX(D4)</f>
        <v>1</v>
      </c>
      <c r="F4" s="25">
        <v>1.0</v>
      </c>
      <c r="G4" s="10" t="s">
        <v>10</v>
      </c>
      <c r="H4" s="26"/>
      <c r="I4" s="27" t="s">
        <v>64</v>
      </c>
      <c r="J4" s="28"/>
    </row>
    <row r="5" ht="14.25" customHeight="1">
      <c r="A5" s="143">
        <v>3.0</v>
      </c>
      <c r="B5" s="29"/>
      <c r="C5" s="30" t="s">
        <v>17</v>
      </c>
      <c r="D5" s="31">
        <v>2.0</v>
      </c>
      <c r="E5" s="25" t="str">
        <f t="shared" si="1"/>
        <v>2</v>
      </c>
      <c r="F5" s="32">
        <v>1.0</v>
      </c>
      <c r="G5" s="33" t="s">
        <v>10</v>
      </c>
      <c r="H5" s="34"/>
      <c r="I5" s="35" t="s">
        <v>65</v>
      </c>
      <c r="J5" s="34"/>
    </row>
    <row r="6" ht="14.25" customHeight="1">
      <c r="A6" s="143">
        <v>4.0</v>
      </c>
      <c r="B6" s="38"/>
      <c r="C6" s="39" t="s">
        <v>19</v>
      </c>
      <c r="D6" s="40" t="s">
        <v>66</v>
      </c>
      <c r="E6" s="41">
        <v>283.0</v>
      </c>
      <c r="F6" s="42">
        <v>2.0</v>
      </c>
      <c r="G6" s="43" t="s">
        <v>10</v>
      </c>
      <c r="H6" s="44"/>
      <c r="I6" s="45" t="s">
        <v>67</v>
      </c>
      <c r="J6" s="46"/>
    </row>
    <row r="7" ht="14.25" customHeight="1">
      <c r="A7" s="143">
        <v>5.0</v>
      </c>
      <c r="B7" s="47"/>
      <c r="C7" s="48" t="s">
        <v>22</v>
      </c>
      <c r="D7" s="49">
        <v>5.0</v>
      </c>
      <c r="E7" s="50" t="str">
        <f t="shared" ref="E7:E34" si="2"> DEC2HEX(D7)</f>
        <v>5</v>
      </c>
      <c r="F7" s="51">
        <v>2.0</v>
      </c>
      <c r="G7" s="52" t="s">
        <v>10</v>
      </c>
      <c r="H7" s="53"/>
      <c r="I7" s="54" t="s">
        <v>23</v>
      </c>
      <c r="J7" s="55"/>
    </row>
    <row r="8" ht="14.25" customHeight="1">
      <c r="A8" s="143">
        <v>6.0</v>
      </c>
      <c r="B8" s="47"/>
      <c r="C8" s="48" t="s">
        <v>24</v>
      </c>
      <c r="D8" s="49">
        <v>8.0</v>
      </c>
      <c r="E8" s="50" t="str">
        <f t="shared" si="2"/>
        <v>8</v>
      </c>
      <c r="F8" s="51">
        <v>1.0</v>
      </c>
      <c r="G8" s="52" t="s">
        <v>10</v>
      </c>
      <c r="H8" s="53"/>
      <c r="I8" s="54" t="s">
        <v>25</v>
      </c>
      <c r="J8" s="55"/>
    </row>
    <row r="9" ht="14.25" customHeight="1">
      <c r="A9" s="143">
        <v>7.0</v>
      </c>
      <c r="B9" s="47"/>
      <c r="C9" s="56" t="s">
        <v>26</v>
      </c>
      <c r="D9" s="49">
        <v>0.0</v>
      </c>
      <c r="E9" s="50" t="str">
        <f t="shared" si="2"/>
        <v>0</v>
      </c>
      <c r="F9" s="51">
        <v>1.0</v>
      </c>
      <c r="G9" s="52" t="s">
        <v>10</v>
      </c>
      <c r="H9" s="53"/>
      <c r="I9" s="57" t="s">
        <v>27</v>
      </c>
      <c r="J9" s="55"/>
    </row>
    <row r="10" ht="14.25" customHeight="1">
      <c r="A10" s="143">
        <v>8.0</v>
      </c>
      <c r="B10" s="47"/>
      <c r="C10" s="58" t="s">
        <v>28</v>
      </c>
      <c r="D10" s="59">
        <v>4.0</v>
      </c>
      <c r="E10" s="25" t="str">
        <f t="shared" si="2"/>
        <v>4</v>
      </c>
      <c r="F10" s="60">
        <v>1.0</v>
      </c>
      <c r="G10" s="61" t="s">
        <v>10</v>
      </c>
      <c r="H10" s="53"/>
      <c r="I10" s="62" t="s">
        <v>29</v>
      </c>
      <c r="J10" s="55"/>
    </row>
    <row r="11" ht="14.25" customHeight="1">
      <c r="A11" s="143">
        <v>9.0</v>
      </c>
      <c r="B11" s="47"/>
      <c r="C11" s="63" t="s">
        <v>30</v>
      </c>
      <c r="D11" s="64">
        <v>2.0</v>
      </c>
      <c r="E11" s="9" t="str">
        <f t="shared" si="2"/>
        <v>2</v>
      </c>
      <c r="F11" s="65">
        <v>1.0</v>
      </c>
      <c r="G11" s="66" t="s">
        <v>10</v>
      </c>
      <c r="H11" s="53"/>
      <c r="I11" s="67" t="s">
        <v>68</v>
      </c>
      <c r="J11" s="55"/>
    </row>
    <row r="12" ht="14.25" customHeight="1">
      <c r="A12" s="143">
        <v>10.0</v>
      </c>
      <c r="B12" s="47"/>
      <c r="C12" s="68" t="s">
        <v>32</v>
      </c>
      <c r="D12" s="69">
        <v>0.0</v>
      </c>
      <c r="E12" s="50" t="str">
        <f t="shared" si="2"/>
        <v>0</v>
      </c>
      <c r="F12" s="70">
        <v>1.0</v>
      </c>
      <c r="G12" s="52" t="s">
        <v>10</v>
      </c>
      <c r="H12" s="53"/>
      <c r="I12" s="71" t="s">
        <v>33</v>
      </c>
      <c r="J12" s="55"/>
    </row>
    <row r="13" ht="14.25" customHeight="1">
      <c r="A13" s="143">
        <v>11.0</v>
      </c>
      <c r="B13" s="47"/>
      <c r="C13" s="68" t="s">
        <v>34</v>
      </c>
      <c r="D13" s="49">
        <v>3.0</v>
      </c>
      <c r="E13" s="50" t="str">
        <f t="shared" si="2"/>
        <v>3</v>
      </c>
      <c r="F13" s="70">
        <v>2.0</v>
      </c>
      <c r="G13" s="52" t="s">
        <v>10</v>
      </c>
      <c r="H13" s="53"/>
      <c r="I13" s="72" t="s">
        <v>35</v>
      </c>
      <c r="J13" s="55"/>
    </row>
    <row r="14" ht="14.25" customHeight="1">
      <c r="A14" s="143">
        <v>12.0</v>
      </c>
      <c r="B14" s="47"/>
      <c r="C14" s="68" t="s">
        <v>36</v>
      </c>
      <c r="D14" s="49">
        <v>16.0</v>
      </c>
      <c r="E14" s="50" t="str">
        <f t="shared" si="2"/>
        <v>10</v>
      </c>
      <c r="F14" s="70">
        <v>1.0</v>
      </c>
      <c r="G14" s="52" t="s">
        <v>10</v>
      </c>
      <c r="H14" s="53"/>
      <c r="I14" s="71" t="s">
        <v>37</v>
      </c>
      <c r="J14" s="55"/>
    </row>
    <row r="15" ht="14.25" customHeight="1">
      <c r="A15" s="143">
        <v>13.0</v>
      </c>
      <c r="B15" s="47"/>
      <c r="C15" s="68" t="s">
        <v>38</v>
      </c>
      <c r="D15" s="49">
        <v>0.0</v>
      </c>
      <c r="E15" s="50" t="str">
        <f t="shared" si="2"/>
        <v>0</v>
      </c>
      <c r="F15" s="70">
        <v>1.0</v>
      </c>
      <c r="G15" s="52" t="s">
        <v>10</v>
      </c>
      <c r="H15" s="53"/>
      <c r="I15" s="72" t="s">
        <v>39</v>
      </c>
      <c r="J15" s="55"/>
    </row>
    <row r="16" ht="14.25" customHeight="1">
      <c r="A16" s="143">
        <v>14.0</v>
      </c>
      <c r="B16" s="73"/>
      <c r="C16" s="74" t="s">
        <v>40</v>
      </c>
      <c r="D16" s="59">
        <v>0.0</v>
      </c>
      <c r="E16" s="25" t="str">
        <f t="shared" si="2"/>
        <v>0</v>
      </c>
      <c r="F16" s="75">
        <v>1.0</v>
      </c>
      <c r="G16" s="76" t="s">
        <v>10</v>
      </c>
      <c r="H16" s="77"/>
      <c r="I16" s="78" t="s">
        <v>41</v>
      </c>
      <c r="J16" s="79"/>
    </row>
    <row r="17" ht="14.25" customHeight="1">
      <c r="A17" s="143">
        <v>15.0</v>
      </c>
      <c r="B17" s="38"/>
      <c r="C17" s="63" t="s">
        <v>30</v>
      </c>
      <c r="D17" s="64">
        <v>2.0</v>
      </c>
      <c r="E17" s="9" t="str">
        <f t="shared" si="2"/>
        <v>2</v>
      </c>
      <c r="F17" s="65">
        <v>1.0</v>
      </c>
      <c r="G17" s="66" t="s">
        <v>10</v>
      </c>
      <c r="H17" s="44"/>
      <c r="I17" s="67" t="s">
        <v>69</v>
      </c>
      <c r="J17" s="46"/>
    </row>
    <row r="18" ht="14.25" customHeight="1">
      <c r="A18" s="143">
        <v>16.0</v>
      </c>
      <c r="B18" s="47"/>
      <c r="C18" s="68" t="s">
        <v>32</v>
      </c>
      <c r="D18" s="69">
        <v>0.0</v>
      </c>
      <c r="E18" s="50" t="str">
        <f t="shared" si="2"/>
        <v>0</v>
      </c>
      <c r="F18" s="70">
        <v>1.0</v>
      </c>
      <c r="G18" s="52" t="s">
        <v>10</v>
      </c>
      <c r="H18" s="53"/>
      <c r="I18" s="71" t="s">
        <v>33</v>
      </c>
      <c r="J18" s="55"/>
    </row>
    <row r="19" ht="14.25" customHeight="1">
      <c r="A19" s="143">
        <v>17.0</v>
      </c>
      <c r="B19" s="47"/>
      <c r="C19" s="68" t="s">
        <v>34</v>
      </c>
      <c r="D19" s="49">
        <v>5.0</v>
      </c>
      <c r="E19" s="50" t="str">
        <f t="shared" si="2"/>
        <v>5</v>
      </c>
      <c r="F19" s="70">
        <v>2.0</v>
      </c>
      <c r="G19" s="52" t="s">
        <v>10</v>
      </c>
      <c r="H19" s="53"/>
      <c r="I19" s="72" t="s">
        <v>35</v>
      </c>
      <c r="J19" s="55"/>
    </row>
    <row r="20" ht="14.25" customHeight="1">
      <c r="A20" s="143">
        <v>18.0</v>
      </c>
      <c r="B20" s="47"/>
      <c r="C20" s="68" t="s">
        <v>36</v>
      </c>
      <c r="D20" s="49">
        <v>16.0</v>
      </c>
      <c r="E20" s="50" t="str">
        <f t="shared" si="2"/>
        <v>10</v>
      </c>
      <c r="F20" s="70">
        <v>1.0</v>
      </c>
      <c r="G20" s="52" t="s">
        <v>10</v>
      </c>
      <c r="H20" s="53"/>
      <c r="I20" s="71" t="s">
        <v>37</v>
      </c>
      <c r="J20" s="55"/>
    </row>
    <row r="21" ht="14.25" customHeight="1">
      <c r="A21" s="143">
        <v>19.0</v>
      </c>
      <c r="B21" s="47"/>
      <c r="C21" s="68" t="s">
        <v>38</v>
      </c>
      <c r="D21" s="49">
        <v>16.0</v>
      </c>
      <c r="E21" s="50" t="str">
        <f t="shared" si="2"/>
        <v>10</v>
      </c>
      <c r="F21" s="70">
        <v>1.0</v>
      </c>
      <c r="G21" s="52" t="s">
        <v>10</v>
      </c>
      <c r="H21" s="53"/>
      <c r="I21" s="72" t="s">
        <v>39</v>
      </c>
      <c r="J21" s="55"/>
    </row>
    <row r="22" ht="14.25" customHeight="1">
      <c r="A22" s="143">
        <v>20.0</v>
      </c>
      <c r="B22" s="73"/>
      <c r="C22" s="74" t="s">
        <v>40</v>
      </c>
      <c r="D22" s="59">
        <v>2.0</v>
      </c>
      <c r="E22" s="25" t="str">
        <f t="shared" si="2"/>
        <v>2</v>
      </c>
      <c r="F22" s="75">
        <v>1.0</v>
      </c>
      <c r="G22" s="76" t="s">
        <v>10</v>
      </c>
      <c r="H22" s="77"/>
      <c r="I22" s="78" t="s">
        <v>41</v>
      </c>
      <c r="J22" s="79"/>
    </row>
    <row r="23" ht="14.25" customHeight="1">
      <c r="A23" s="143">
        <v>21.0</v>
      </c>
      <c r="B23" s="38"/>
      <c r="C23" s="63" t="s">
        <v>30</v>
      </c>
      <c r="D23" s="64">
        <v>2.0</v>
      </c>
      <c r="E23" s="9" t="str">
        <f t="shared" si="2"/>
        <v>2</v>
      </c>
      <c r="F23" s="65">
        <v>1.0</v>
      </c>
      <c r="G23" s="66" t="s">
        <v>10</v>
      </c>
      <c r="H23" s="44"/>
      <c r="I23" s="67" t="s">
        <v>70</v>
      </c>
      <c r="J23" s="46"/>
    </row>
    <row r="24" ht="14.25" customHeight="1">
      <c r="A24" s="143">
        <v>22.0</v>
      </c>
      <c r="B24" s="47"/>
      <c r="C24" s="68" t="s">
        <v>32</v>
      </c>
      <c r="D24" s="69">
        <v>0.0</v>
      </c>
      <c r="E24" s="50" t="str">
        <f t="shared" si="2"/>
        <v>0</v>
      </c>
      <c r="F24" s="70">
        <v>1.0</v>
      </c>
      <c r="G24" s="52" t="s">
        <v>10</v>
      </c>
      <c r="H24" s="53"/>
      <c r="I24" s="71" t="s">
        <v>33</v>
      </c>
      <c r="J24" s="55"/>
    </row>
    <row r="25" ht="14.25" customHeight="1">
      <c r="A25" s="143">
        <v>23.0</v>
      </c>
      <c r="B25" s="47"/>
      <c r="C25" s="68" t="s">
        <v>34</v>
      </c>
      <c r="D25" s="49">
        <v>25.0</v>
      </c>
      <c r="E25" s="50" t="str">
        <f t="shared" si="2"/>
        <v>19</v>
      </c>
      <c r="F25" s="70">
        <v>2.0</v>
      </c>
      <c r="G25" s="52" t="s">
        <v>10</v>
      </c>
      <c r="H25" s="53"/>
      <c r="I25" s="72" t="s">
        <v>35</v>
      </c>
      <c r="J25" s="55"/>
    </row>
    <row r="26" ht="14.25" customHeight="1">
      <c r="A26" s="143">
        <v>24.0</v>
      </c>
      <c r="B26" s="47"/>
      <c r="C26" s="68" t="s">
        <v>36</v>
      </c>
      <c r="D26" s="49">
        <v>16.0</v>
      </c>
      <c r="E26" s="50" t="str">
        <f t="shared" si="2"/>
        <v>10</v>
      </c>
      <c r="F26" s="70">
        <v>1.0</v>
      </c>
      <c r="G26" s="52" t="s">
        <v>10</v>
      </c>
      <c r="H26" s="53"/>
      <c r="I26" s="71" t="s">
        <v>37</v>
      </c>
      <c r="J26" s="55"/>
    </row>
    <row r="27" ht="14.25" customHeight="1">
      <c r="A27" s="143">
        <v>25.0</v>
      </c>
      <c r="B27" s="47"/>
      <c r="C27" s="68" t="s">
        <v>38</v>
      </c>
      <c r="D27" s="49">
        <v>32.0</v>
      </c>
      <c r="E27" s="50" t="str">
        <f t="shared" si="2"/>
        <v>20</v>
      </c>
      <c r="F27" s="70">
        <v>1.0</v>
      </c>
      <c r="G27" s="52" t="s">
        <v>10</v>
      </c>
      <c r="H27" s="53"/>
      <c r="I27" s="72" t="s">
        <v>39</v>
      </c>
      <c r="J27" s="55"/>
    </row>
    <row r="28" ht="14.25" customHeight="1">
      <c r="A28" s="143">
        <v>26.0</v>
      </c>
      <c r="B28" s="73"/>
      <c r="C28" s="74" t="s">
        <v>40</v>
      </c>
      <c r="D28" s="59">
        <v>2.0</v>
      </c>
      <c r="E28" s="25" t="str">
        <f t="shared" si="2"/>
        <v>2</v>
      </c>
      <c r="F28" s="75">
        <v>1.0</v>
      </c>
      <c r="G28" s="76" t="s">
        <v>10</v>
      </c>
      <c r="H28" s="77"/>
      <c r="I28" s="78" t="s">
        <v>41</v>
      </c>
      <c r="J28" s="79"/>
    </row>
    <row r="29" ht="14.25" customHeight="1">
      <c r="A29" s="143">
        <v>27.0</v>
      </c>
      <c r="B29" s="38"/>
      <c r="C29" s="63" t="s">
        <v>30</v>
      </c>
      <c r="D29" s="64">
        <v>2.0</v>
      </c>
      <c r="E29" s="9" t="str">
        <f t="shared" si="2"/>
        <v>2</v>
      </c>
      <c r="F29" s="65">
        <v>1.0</v>
      </c>
      <c r="G29" s="66" t="s">
        <v>10</v>
      </c>
      <c r="H29" s="44"/>
      <c r="I29" s="67" t="s">
        <v>71</v>
      </c>
      <c r="J29" s="46"/>
    </row>
    <row r="30" ht="14.25" customHeight="1">
      <c r="A30" s="143">
        <v>28.0</v>
      </c>
      <c r="B30" s="47"/>
      <c r="C30" s="68" t="s">
        <v>32</v>
      </c>
      <c r="D30" s="69">
        <v>0.0</v>
      </c>
      <c r="E30" s="50" t="str">
        <f t="shared" si="2"/>
        <v>0</v>
      </c>
      <c r="F30" s="70">
        <v>1.0</v>
      </c>
      <c r="G30" s="52" t="s">
        <v>10</v>
      </c>
      <c r="H30" s="53"/>
      <c r="I30" s="71" t="s">
        <v>33</v>
      </c>
      <c r="J30" s="55"/>
    </row>
    <row r="31" ht="14.25" customHeight="1">
      <c r="A31" s="143">
        <v>29.0</v>
      </c>
      <c r="B31" s="47"/>
      <c r="C31" s="68" t="s">
        <v>34</v>
      </c>
      <c r="D31" s="49">
        <v>26.0</v>
      </c>
      <c r="E31" s="50" t="str">
        <f t="shared" si="2"/>
        <v>1A</v>
      </c>
      <c r="F31" s="70">
        <v>2.0</v>
      </c>
      <c r="G31" s="52" t="s">
        <v>10</v>
      </c>
      <c r="H31" s="53"/>
      <c r="I31" s="72" t="s">
        <v>35</v>
      </c>
      <c r="J31" s="55"/>
    </row>
    <row r="32" ht="14.25" customHeight="1">
      <c r="A32" s="143">
        <v>30.0</v>
      </c>
      <c r="B32" s="47"/>
      <c r="C32" s="68" t="s">
        <v>36</v>
      </c>
      <c r="D32" s="49">
        <v>16.0</v>
      </c>
      <c r="E32" s="50" t="str">
        <f t="shared" si="2"/>
        <v>10</v>
      </c>
      <c r="F32" s="70">
        <v>1.0</v>
      </c>
      <c r="G32" s="52" t="s">
        <v>10</v>
      </c>
      <c r="H32" s="53"/>
      <c r="I32" s="71" t="s">
        <v>37</v>
      </c>
      <c r="J32" s="55"/>
    </row>
    <row r="33" ht="14.25" customHeight="1">
      <c r="A33" s="143">
        <v>31.0</v>
      </c>
      <c r="B33" s="47"/>
      <c r="C33" s="68" t="s">
        <v>38</v>
      </c>
      <c r="D33" s="49">
        <v>48.0</v>
      </c>
      <c r="E33" s="50" t="str">
        <f t="shared" si="2"/>
        <v>30</v>
      </c>
      <c r="F33" s="70">
        <v>1.0</v>
      </c>
      <c r="G33" s="52" t="s">
        <v>10</v>
      </c>
      <c r="H33" s="53"/>
      <c r="I33" s="72" t="s">
        <v>39</v>
      </c>
      <c r="J33" s="55"/>
    </row>
    <row r="34" ht="14.25" customHeight="1">
      <c r="A34" s="143">
        <v>32.0</v>
      </c>
      <c r="B34" s="73"/>
      <c r="C34" s="74" t="s">
        <v>40</v>
      </c>
      <c r="D34" s="59">
        <v>2.0</v>
      </c>
      <c r="E34" s="25" t="str">
        <f t="shared" si="2"/>
        <v>2</v>
      </c>
      <c r="F34" s="75">
        <v>1.0</v>
      </c>
      <c r="G34" s="76" t="s">
        <v>10</v>
      </c>
      <c r="H34" s="77"/>
      <c r="I34" s="78" t="s">
        <v>41</v>
      </c>
      <c r="J34" s="79"/>
    </row>
    <row r="35" ht="14.25" customHeight="1">
      <c r="A35" s="143">
        <v>33.0</v>
      </c>
      <c r="B35" s="38"/>
      <c r="C35" s="39" t="s">
        <v>19</v>
      </c>
      <c r="D35" s="40" t="s">
        <v>66</v>
      </c>
      <c r="E35" s="41">
        <v>285.0</v>
      </c>
      <c r="F35" s="42">
        <v>2.0</v>
      </c>
      <c r="G35" s="43" t="s">
        <v>10</v>
      </c>
      <c r="H35" s="44"/>
      <c r="I35" s="45" t="s">
        <v>72</v>
      </c>
      <c r="J35" s="46"/>
    </row>
    <row r="36" ht="14.25" customHeight="1">
      <c r="A36" s="143">
        <v>34.0</v>
      </c>
      <c r="B36" s="47"/>
      <c r="C36" s="48" t="s">
        <v>22</v>
      </c>
      <c r="D36" s="49">
        <v>5.0</v>
      </c>
      <c r="E36" s="50" t="str">
        <f t="shared" ref="E36:E64" si="3"> DEC2HEX(D36)</f>
        <v>5</v>
      </c>
      <c r="F36" s="51">
        <v>2.0</v>
      </c>
      <c r="G36" s="52" t="s">
        <v>10</v>
      </c>
      <c r="H36" s="53"/>
      <c r="I36" s="54" t="s">
        <v>23</v>
      </c>
      <c r="J36" s="55"/>
    </row>
    <row r="37" ht="14.25" customHeight="1">
      <c r="A37" s="143">
        <v>35.0</v>
      </c>
      <c r="B37" s="47"/>
      <c r="C37" s="48" t="s">
        <v>24</v>
      </c>
      <c r="D37" s="49">
        <v>8.0</v>
      </c>
      <c r="E37" s="50" t="str">
        <f t="shared" si="3"/>
        <v>8</v>
      </c>
      <c r="F37" s="51">
        <v>1.0</v>
      </c>
      <c r="G37" s="52" t="s">
        <v>10</v>
      </c>
      <c r="H37" s="53"/>
      <c r="I37" s="54" t="s">
        <v>25</v>
      </c>
      <c r="J37" s="55"/>
    </row>
    <row r="38" ht="14.25" customHeight="1">
      <c r="A38" s="143">
        <v>36.0</v>
      </c>
      <c r="B38" s="47"/>
      <c r="C38" s="56" t="s">
        <v>26</v>
      </c>
      <c r="D38" s="49">
        <v>0.0</v>
      </c>
      <c r="E38" s="50" t="str">
        <f t="shared" si="3"/>
        <v>0</v>
      </c>
      <c r="F38" s="51">
        <v>1.0</v>
      </c>
      <c r="G38" s="52" t="s">
        <v>10</v>
      </c>
      <c r="H38" s="53"/>
      <c r="I38" s="57" t="s">
        <v>27</v>
      </c>
      <c r="J38" s="55"/>
    </row>
    <row r="39" ht="14.25" customHeight="1">
      <c r="A39" s="143">
        <v>37.0</v>
      </c>
      <c r="B39" s="47"/>
      <c r="C39" s="58" t="s">
        <v>28</v>
      </c>
      <c r="D39" s="59">
        <v>4.0</v>
      </c>
      <c r="E39" s="25" t="str">
        <f t="shared" si="3"/>
        <v>4</v>
      </c>
      <c r="F39" s="60">
        <v>1.0</v>
      </c>
      <c r="G39" s="61" t="s">
        <v>10</v>
      </c>
      <c r="H39" s="53"/>
      <c r="I39" s="62" t="s">
        <v>29</v>
      </c>
      <c r="J39" s="55"/>
    </row>
    <row r="40" ht="14.25" customHeight="1">
      <c r="A40" s="143">
        <v>38.0</v>
      </c>
      <c r="B40" s="47"/>
      <c r="C40" s="63" t="s">
        <v>30</v>
      </c>
      <c r="D40" s="64">
        <v>2.0</v>
      </c>
      <c r="E40" s="9" t="str">
        <f t="shared" si="3"/>
        <v>2</v>
      </c>
      <c r="F40" s="65">
        <v>1.0</v>
      </c>
      <c r="G40" s="66" t="s">
        <v>10</v>
      </c>
      <c r="H40" s="53"/>
      <c r="I40" s="67" t="s">
        <v>73</v>
      </c>
      <c r="J40" s="55"/>
    </row>
    <row r="41" ht="14.25" customHeight="1">
      <c r="A41" s="143">
        <v>39.0</v>
      </c>
      <c r="B41" s="47"/>
      <c r="C41" s="68" t="s">
        <v>32</v>
      </c>
      <c r="D41" s="69">
        <v>0.0</v>
      </c>
      <c r="E41" s="50" t="str">
        <f t="shared" si="3"/>
        <v>0</v>
      </c>
      <c r="F41" s="70">
        <v>1.0</v>
      </c>
      <c r="G41" s="52" t="s">
        <v>10</v>
      </c>
      <c r="H41" s="53"/>
      <c r="I41" s="71" t="s">
        <v>33</v>
      </c>
      <c r="J41" s="55"/>
    </row>
    <row r="42" ht="14.25" customHeight="1">
      <c r="A42" s="143">
        <v>40.0</v>
      </c>
      <c r="B42" s="47"/>
      <c r="C42" s="68" t="s">
        <v>34</v>
      </c>
      <c r="D42" s="49">
        <v>7.0</v>
      </c>
      <c r="E42" s="50" t="str">
        <f t="shared" si="3"/>
        <v>7</v>
      </c>
      <c r="F42" s="70">
        <v>2.0</v>
      </c>
      <c r="G42" s="52" t="s">
        <v>10</v>
      </c>
      <c r="H42" s="53"/>
      <c r="I42" s="72" t="s">
        <v>35</v>
      </c>
      <c r="J42" s="55"/>
    </row>
    <row r="43" ht="14.25" customHeight="1">
      <c r="A43" s="143">
        <v>41.0</v>
      </c>
      <c r="B43" s="47"/>
      <c r="C43" s="68" t="s">
        <v>36</v>
      </c>
      <c r="D43" s="49">
        <v>16.0</v>
      </c>
      <c r="E43" s="50" t="str">
        <f t="shared" si="3"/>
        <v>10</v>
      </c>
      <c r="F43" s="70">
        <v>1.0</v>
      </c>
      <c r="G43" s="52" t="s">
        <v>10</v>
      </c>
      <c r="H43" s="53"/>
      <c r="I43" s="71" t="s">
        <v>37</v>
      </c>
      <c r="J43" s="55"/>
    </row>
    <row r="44" ht="14.25" customHeight="1">
      <c r="A44" s="143">
        <v>42.0</v>
      </c>
      <c r="B44" s="47"/>
      <c r="C44" s="68" t="s">
        <v>38</v>
      </c>
      <c r="D44" s="49">
        <v>0.0</v>
      </c>
      <c r="E44" s="50" t="str">
        <f t="shared" si="3"/>
        <v>0</v>
      </c>
      <c r="F44" s="70">
        <v>1.0</v>
      </c>
      <c r="G44" s="52" t="s">
        <v>10</v>
      </c>
      <c r="H44" s="53"/>
      <c r="I44" s="72" t="s">
        <v>39</v>
      </c>
      <c r="J44" s="55"/>
    </row>
    <row r="45" ht="14.25" customHeight="1">
      <c r="A45" s="143">
        <v>43.0</v>
      </c>
      <c r="B45" s="73"/>
      <c r="C45" s="74" t="s">
        <v>40</v>
      </c>
      <c r="D45" s="59">
        <v>2.0</v>
      </c>
      <c r="E45" s="25" t="str">
        <f t="shared" si="3"/>
        <v>2</v>
      </c>
      <c r="F45" s="75">
        <v>1.0</v>
      </c>
      <c r="G45" s="76" t="s">
        <v>10</v>
      </c>
      <c r="H45" s="77"/>
      <c r="I45" s="78" t="s">
        <v>41</v>
      </c>
      <c r="J45" s="79"/>
    </row>
    <row r="46" ht="14.25" customHeight="1">
      <c r="A46" s="143">
        <v>44.0</v>
      </c>
      <c r="B46" s="38"/>
      <c r="C46" s="63" t="s">
        <v>30</v>
      </c>
      <c r="D46" s="64">
        <v>2.0</v>
      </c>
      <c r="E46" s="9" t="str">
        <f t="shared" si="3"/>
        <v>2</v>
      </c>
      <c r="F46" s="65">
        <v>1.0</v>
      </c>
      <c r="G46" s="66" t="s">
        <v>10</v>
      </c>
      <c r="H46" s="44"/>
      <c r="I46" s="67" t="s">
        <v>74</v>
      </c>
      <c r="J46" s="46"/>
    </row>
    <row r="47" ht="14.25" customHeight="1">
      <c r="A47" s="143">
        <v>45.0</v>
      </c>
      <c r="B47" s="47"/>
      <c r="C47" s="68" t="s">
        <v>32</v>
      </c>
      <c r="D47" s="69">
        <v>0.0</v>
      </c>
      <c r="E47" s="50" t="str">
        <f t="shared" si="3"/>
        <v>0</v>
      </c>
      <c r="F47" s="70">
        <v>1.0</v>
      </c>
      <c r="G47" s="52" t="s">
        <v>10</v>
      </c>
      <c r="H47" s="53"/>
      <c r="I47" s="71" t="s">
        <v>33</v>
      </c>
      <c r="J47" s="55"/>
    </row>
    <row r="48" ht="14.25" customHeight="1">
      <c r="A48" s="143">
        <v>46.0</v>
      </c>
      <c r="B48" s="47"/>
      <c r="C48" s="68" t="s">
        <v>34</v>
      </c>
      <c r="D48" s="49">
        <v>8.0</v>
      </c>
      <c r="E48" s="50" t="str">
        <f t="shared" si="3"/>
        <v>8</v>
      </c>
      <c r="F48" s="70">
        <v>2.0</v>
      </c>
      <c r="G48" s="52" t="s">
        <v>10</v>
      </c>
      <c r="H48" s="53"/>
      <c r="I48" s="72" t="s">
        <v>35</v>
      </c>
      <c r="J48" s="55"/>
    </row>
    <row r="49" ht="14.25" customHeight="1">
      <c r="A49" s="143">
        <v>47.0</v>
      </c>
      <c r="B49" s="47"/>
      <c r="C49" s="68" t="s">
        <v>36</v>
      </c>
      <c r="D49" s="49">
        <v>16.0</v>
      </c>
      <c r="E49" s="50" t="str">
        <f t="shared" si="3"/>
        <v>10</v>
      </c>
      <c r="F49" s="70">
        <v>1.0</v>
      </c>
      <c r="G49" s="52" t="s">
        <v>10</v>
      </c>
      <c r="H49" s="53"/>
      <c r="I49" s="71" t="s">
        <v>37</v>
      </c>
      <c r="J49" s="55"/>
    </row>
    <row r="50" ht="14.25" customHeight="1">
      <c r="A50" s="143">
        <v>48.0</v>
      </c>
      <c r="B50" s="47"/>
      <c r="C50" s="68" t="s">
        <v>38</v>
      </c>
      <c r="D50" s="49">
        <v>16.0</v>
      </c>
      <c r="E50" s="50" t="str">
        <f t="shared" si="3"/>
        <v>10</v>
      </c>
      <c r="F50" s="70">
        <v>1.0</v>
      </c>
      <c r="G50" s="52" t="s">
        <v>10</v>
      </c>
      <c r="H50" s="53"/>
      <c r="I50" s="72" t="s">
        <v>39</v>
      </c>
      <c r="J50" s="55"/>
    </row>
    <row r="51" ht="14.25" customHeight="1">
      <c r="A51" s="143">
        <v>49.0</v>
      </c>
      <c r="B51" s="73"/>
      <c r="C51" s="74" t="s">
        <v>40</v>
      </c>
      <c r="D51" s="59">
        <v>2.0</v>
      </c>
      <c r="E51" s="25" t="str">
        <f t="shared" si="3"/>
        <v>2</v>
      </c>
      <c r="F51" s="75">
        <v>1.0</v>
      </c>
      <c r="G51" s="76" t="s">
        <v>10</v>
      </c>
      <c r="H51" s="77"/>
      <c r="I51" s="78" t="s">
        <v>41</v>
      </c>
      <c r="J51" s="79"/>
    </row>
    <row r="52" ht="14.25" customHeight="1">
      <c r="A52" s="143">
        <v>50.0</v>
      </c>
      <c r="B52" s="38"/>
      <c r="C52" s="63" t="s">
        <v>30</v>
      </c>
      <c r="D52" s="64">
        <v>2.0</v>
      </c>
      <c r="E52" s="9" t="str">
        <f t="shared" si="3"/>
        <v>2</v>
      </c>
      <c r="F52" s="65">
        <v>1.0</v>
      </c>
      <c r="G52" s="66" t="s">
        <v>10</v>
      </c>
      <c r="H52" s="44"/>
      <c r="I52" s="67" t="s">
        <v>75</v>
      </c>
      <c r="J52" s="46"/>
    </row>
    <row r="53" ht="14.25" customHeight="1">
      <c r="A53" s="143">
        <v>51.0</v>
      </c>
      <c r="B53" s="47"/>
      <c r="C53" s="68" t="s">
        <v>32</v>
      </c>
      <c r="D53" s="69">
        <v>0.0</v>
      </c>
      <c r="E53" s="50" t="str">
        <f t="shared" si="3"/>
        <v>0</v>
      </c>
      <c r="F53" s="70">
        <v>1.0</v>
      </c>
      <c r="G53" s="52" t="s">
        <v>10</v>
      </c>
      <c r="H53" s="53"/>
      <c r="I53" s="71" t="s">
        <v>33</v>
      </c>
      <c r="J53" s="55"/>
    </row>
    <row r="54" ht="14.25" customHeight="1">
      <c r="A54" s="143">
        <v>52.0</v>
      </c>
      <c r="B54" s="47"/>
      <c r="C54" s="68" t="s">
        <v>34</v>
      </c>
      <c r="D54" s="49">
        <v>21.0</v>
      </c>
      <c r="E54" s="50" t="str">
        <f t="shared" si="3"/>
        <v>15</v>
      </c>
      <c r="F54" s="70">
        <v>2.0</v>
      </c>
      <c r="G54" s="52" t="s">
        <v>10</v>
      </c>
      <c r="H54" s="53"/>
      <c r="I54" s="72" t="s">
        <v>35</v>
      </c>
      <c r="J54" s="55"/>
    </row>
    <row r="55" ht="14.25" customHeight="1">
      <c r="A55" s="143">
        <v>53.0</v>
      </c>
      <c r="B55" s="47"/>
      <c r="C55" s="68" t="s">
        <v>36</v>
      </c>
      <c r="D55" s="49">
        <v>16.0</v>
      </c>
      <c r="E55" s="50" t="str">
        <f t="shared" si="3"/>
        <v>10</v>
      </c>
      <c r="F55" s="70">
        <v>1.0</v>
      </c>
      <c r="G55" s="52" t="s">
        <v>10</v>
      </c>
      <c r="H55" s="53"/>
      <c r="I55" s="71" t="s">
        <v>37</v>
      </c>
      <c r="J55" s="55"/>
    </row>
    <row r="56" ht="14.25" customHeight="1">
      <c r="A56" s="143">
        <v>54.0</v>
      </c>
      <c r="B56" s="47"/>
      <c r="C56" s="68" t="s">
        <v>38</v>
      </c>
      <c r="D56" s="49">
        <v>32.0</v>
      </c>
      <c r="E56" s="50" t="str">
        <f t="shared" si="3"/>
        <v>20</v>
      </c>
      <c r="F56" s="70">
        <v>1.0</v>
      </c>
      <c r="G56" s="52" t="s">
        <v>10</v>
      </c>
      <c r="H56" s="53"/>
      <c r="I56" s="72" t="s">
        <v>39</v>
      </c>
      <c r="J56" s="55"/>
    </row>
    <row r="57" ht="14.25" customHeight="1">
      <c r="A57" s="143">
        <v>55.0</v>
      </c>
      <c r="B57" s="73"/>
      <c r="C57" s="74" t="s">
        <v>40</v>
      </c>
      <c r="D57" s="59">
        <v>2.0</v>
      </c>
      <c r="E57" s="25" t="str">
        <f t="shared" si="3"/>
        <v>2</v>
      </c>
      <c r="F57" s="75">
        <v>1.0</v>
      </c>
      <c r="G57" s="76" t="s">
        <v>10</v>
      </c>
      <c r="H57" s="77"/>
      <c r="I57" s="78" t="s">
        <v>41</v>
      </c>
      <c r="J57" s="79"/>
    </row>
    <row r="58" ht="14.25" customHeight="1">
      <c r="A58" s="143">
        <v>56.0</v>
      </c>
      <c r="B58" s="38"/>
      <c r="C58" s="63" t="s">
        <v>30</v>
      </c>
      <c r="D58" s="64">
        <v>2.0</v>
      </c>
      <c r="E58" s="9" t="str">
        <f t="shared" si="3"/>
        <v>2</v>
      </c>
      <c r="F58" s="65">
        <v>1.0</v>
      </c>
      <c r="G58" s="66" t="s">
        <v>10</v>
      </c>
      <c r="H58" s="44"/>
      <c r="I58" s="67" t="s">
        <v>76</v>
      </c>
      <c r="J58" s="46"/>
    </row>
    <row r="59" ht="14.25" customHeight="1">
      <c r="A59" s="143">
        <v>57.0</v>
      </c>
      <c r="B59" s="47"/>
      <c r="C59" s="68" t="s">
        <v>32</v>
      </c>
      <c r="D59" s="69">
        <v>0.0</v>
      </c>
      <c r="E59" s="50" t="str">
        <f t="shared" si="3"/>
        <v>0</v>
      </c>
      <c r="F59" s="70">
        <v>1.0</v>
      </c>
      <c r="G59" s="52" t="s">
        <v>10</v>
      </c>
      <c r="H59" s="53"/>
      <c r="I59" s="71" t="s">
        <v>33</v>
      </c>
      <c r="J59" s="55"/>
    </row>
    <row r="60" ht="14.25" customHeight="1">
      <c r="A60" s="143">
        <v>58.0</v>
      </c>
      <c r="B60" s="47"/>
      <c r="C60" s="68" t="s">
        <v>34</v>
      </c>
      <c r="D60" s="49">
        <v>27.0</v>
      </c>
      <c r="E60" s="50" t="str">
        <f t="shared" si="3"/>
        <v>1B</v>
      </c>
      <c r="F60" s="70">
        <v>2.0</v>
      </c>
      <c r="G60" s="52" t="s">
        <v>10</v>
      </c>
      <c r="H60" s="53"/>
      <c r="I60" s="72" t="s">
        <v>35</v>
      </c>
      <c r="J60" s="55"/>
    </row>
    <row r="61" ht="14.25" customHeight="1">
      <c r="A61" s="143">
        <v>59.0</v>
      </c>
      <c r="B61" s="47"/>
      <c r="C61" s="68" t="s">
        <v>36</v>
      </c>
      <c r="D61" s="49">
        <v>16.0</v>
      </c>
      <c r="E61" s="50" t="str">
        <f t="shared" si="3"/>
        <v>10</v>
      </c>
      <c r="F61" s="70">
        <v>1.0</v>
      </c>
      <c r="G61" s="52" t="s">
        <v>10</v>
      </c>
      <c r="H61" s="53"/>
      <c r="I61" s="71" t="s">
        <v>37</v>
      </c>
      <c r="J61" s="55"/>
    </row>
    <row r="62" ht="14.25" customHeight="1">
      <c r="A62" s="143">
        <v>60.0</v>
      </c>
      <c r="B62" s="47"/>
      <c r="C62" s="68" t="s">
        <v>38</v>
      </c>
      <c r="D62" s="49">
        <v>48.0</v>
      </c>
      <c r="E62" s="50" t="str">
        <f t="shared" si="3"/>
        <v>30</v>
      </c>
      <c r="F62" s="70">
        <v>1.0</v>
      </c>
      <c r="G62" s="52" t="s">
        <v>10</v>
      </c>
      <c r="H62" s="53"/>
      <c r="I62" s="72" t="s">
        <v>39</v>
      </c>
      <c r="J62" s="55"/>
    </row>
    <row r="63" ht="14.25" customHeight="1">
      <c r="A63" s="143">
        <v>61.0</v>
      </c>
      <c r="B63" s="73"/>
      <c r="C63" s="74" t="s">
        <v>40</v>
      </c>
      <c r="D63" s="59">
        <v>2.0</v>
      </c>
      <c r="E63" s="25" t="str">
        <f t="shared" si="3"/>
        <v>2</v>
      </c>
      <c r="F63" s="75">
        <v>1.0</v>
      </c>
      <c r="G63" s="76" t="s">
        <v>10</v>
      </c>
      <c r="H63" s="77"/>
      <c r="I63" s="78" t="s">
        <v>41</v>
      </c>
      <c r="J63" s="79"/>
    </row>
    <row r="64" ht="14.25" customHeight="1">
      <c r="A64" s="143">
        <v>62.0</v>
      </c>
      <c r="B64" s="80"/>
      <c r="C64" s="30" t="s">
        <v>43</v>
      </c>
      <c r="D64" s="31">
        <v>1.0</v>
      </c>
      <c r="E64" s="32" t="str">
        <f t="shared" si="3"/>
        <v>1</v>
      </c>
      <c r="F64" s="32">
        <v>1.0</v>
      </c>
      <c r="G64" s="81"/>
      <c r="H64" s="82"/>
      <c r="I64" s="35" t="s">
        <v>77</v>
      </c>
      <c r="J64" s="34"/>
    </row>
    <row r="65" ht="14.25" customHeight="1">
      <c r="A65" s="143">
        <v>63.0</v>
      </c>
      <c r="B65" s="83"/>
      <c r="C65" s="84" t="s">
        <v>45</v>
      </c>
      <c r="D65" s="85" t="s">
        <v>66</v>
      </c>
      <c r="E65" s="41">
        <v>184.0</v>
      </c>
      <c r="F65" s="86">
        <v>2.0</v>
      </c>
      <c r="G65" s="87" t="s">
        <v>10</v>
      </c>
      <c r="H65" s="88"/>
      <c r="I65" s="89" t="s">
        <v>78</v>
      </c>
      <c r="J65" s="90"/>
    </row>
    <row r="66" ht="14.25" customHeight="1">
      <c r="A66" s="143">
        <v>64.0</v>
      </c>
      <c r="B66" s="91"/>
      <c r="C66" s="92" t="s">
        <v>47</v>
      </c>
      <c r="D66" s="49">
        <v>50.0</v>
      </c>
      <c r="E66" s="50" t="str">
        <f t="shared" ref="E66:E96" si="4"> DEC2HEX(D66)</f>
        <v>32</v>
      </c>
      <c r="F66" s="93">
        <v>2.0</v>
      </c>
      <c r="G66" s="94" t="s">
        <v>10</v>
      </c>
      <c r="H66" s="95"/>
      <c r="I66" s="96" t="s">
        <v>48</v>
      </c>
      <c r="J66" s="97"/>
    </row>
    <row r="67" ht="14.25" customHeight="1">
      <c r="A67" s="143">
        <v>65.0</v>
      </c>
      <c r="B67" s="91"/>
      <c r="C67" s="92" t="s">
        <v>24</v>
      </c>
      <c r="D67" s="49">
        <v>8.0</v>
      </c>
      <c r="E67" s="50" t="str">
        <f t="shared" si="4"/>
        <v>8</v>
      </c>
      <c r="F67" s="93">
        <v>1.0</v>
      </c>
      <c r="G67" s="94" t="s">
        <v>10</v>
      </c>
      <c r="H67" s="95"/>
      <c r="I67" s="96" t="s">
        <v>25</v>
      </c>
      <c r="J67" s="97"/>
    </row>
    <row r="68" ht="14.25" customHeight="1">
      <c r="A68" s="143">
        <v>66.0</v>
      </c>
      <c r="B68" s="98"/>
      <c r="C68" s="92" t="s">
        <v>49</v>
      </c>
      <c r="D68" s="69">
        <v>0.0</v>
      </c>
      <c r="E68" s="50" t="str">
        <f t="shared" si="4"/>
        <v>0</v>
      </c>
      <c r="F68" s="93">
        <v>1.0</v>
      </c>
      <c r="G68" s="94" t="s">
        <v>10</v>
      </c>
      <c r="H68" s="95"/>
      <c r="I68" s="96" t="s">
        <v>33</v>
      </c>
      <c r="J68" s="97"/>
    </row>
    <row r="69" ht="14.25" customHeight="1">
      <c r="A69" s="143">
        <v>67.0</v>
      </c>
      <c r="B69" s="99"/>
      <c r="C69" s="100" t="s">
        <v>50</v>
      </c>
      <c r="D69" s="59">
        <v>4.0</v>
      </c>
      <c r="E69" s="25" t="str">
        <f t="shared" si="4"/>
        <v>4</v>
      </c>
      <c r="F69" s="101">
        <v>1.0</v>
      </c>
      <c r="G69" s="102" t="s">
        <v>10</v>
      </c>
      <c r="H69" s="103"/>
      <c r="I69" s="104" t="s">
        <v>51</v>
      </c>
      <c r="J69" s="105"/>
    </row>
    <row r="70" ht="14.25" customHeight="1">
      <c r="A70" s="143">
        <v>68.0</v>
      </c>
      <c r="B70" s="106"/>
      <c r="C70" s="107" t="s">
        <v>30</v>
      </c>
      <c r="D70" s="64">
        <v>2.0</v>
      </c>
      <c r="E70" s="9" t="str">
        <f t="shared" si="4"/>
        <v>2</v>
      </c>
      <c r="F70" s="108">
        <v>1.0</v>
      </c>
      <c r="G70" s="109" t="s">
        <v>10</v>
      </c>
      <c r="H70" s="88"/>
      <c r="I70" s="110" t="s">
        <v>79</v>
      </c>
      <c r="J70" s="90"/>
    </row>
    <row r="71" ht="14.25" customHeight="1">
      <c r="A71" s="143">
        <v>69.0</v>
      </c>
      <c r="B71" s="98"/>
      <c r="C71" s="111" t="s">
        <v>32</v>
      </c>
      <c r="D71" s="69">
        <v>0.0</v>
      </c>
      <c r="E71" s="50" t="str">
        <f t="shared" si="4"/>
        <v>0</v>
      </c>
      <c r="F71" s="112">
        <v>1.0</v>
      </c>
      <c r="G71" s="113" t="s">
        <v>10</v>
      </c>
      <c r="H71" s="95"/>
      <c r="I71" s="114" t="s">
        <v>33</v>
      </c>
      <c r="J71" s="97"/>
    </row>
    <row r="72" ht="14.25" customHeight="1">
      <c r="A72" s="143">
        <v>70.0</v>
      </c>
      <c r="B72" s="98"/>
      <c r="C72" s="111" t="s">
        <v>34</v>
      </c>
      <c r="D72" s="49">
        <v>4.0</v>
      </c>
      <c r="E72" s="50" t="str">
        <f t="shared" si="4"/>
        <v>4</v>
      </c>
      <c r="F72" s="112">
        <v>2.0</v>
      </c>
      <c r="G72" s="113" t="s">
        <v>10</v>
      </c>
      <c r="H72" s="95"/>
      <c r="I72" s="114" t="s">
        <v>35</v>
      </c>
      <c r="J72" s="97"/>
    </row>
    <row r="73" ht="14.25" customHeight="1">
      <c r="A73" s="143">
        <v>71.0</v>
      </c>
      <c r="B73" s="98"/>
      <c r="C73" s="111" t="s">
        <v>36</v>
      </c>
      <c r="D73" s="49">
        <v>16.0</v>
      </c>
      <c r="E73" s="50" t="str">
        <f t="shared" si="4"/>
        <v>10</v>
      </c>
      <c r="F73" s="112">
        <v>1.0</v>
      </c>
      <c r="G73" s="113" t="s">
        <v>10</v>
      </c>
      <c r="H73" s="95"/>
      <c r="I73" s="114" t="s">
        <v>37</v>
      </c>
      <c r="J73" s="97"/>
    </row>
    <row r="74" ht="14.25" customHeight="1">
      <c r="A74" s="143">
        <v>72.0</v>
      </c>
      <c r="B74" s="98"/>
      <c r="C74" s="111" t="s">
        <v>38</v>
      </c>
      <c r="D74" s="49">
        <v>0.0</v>
      </c>
      <c r="E74" s="50" t="str">
        <f t="shared" si="4"/>
        <v>0</v>
      </c>
      <c r="F74" s="112">
        <v>1.0</v>
      </c>
      <c r="G74" s="113" t="s">
        <v>10</v>
      </c>
      <c r="H74" s="95"/>
      <c r="I74" s="114" t="s">
        <v>39</v>
      </c>
      <c r="J74" s="97"/>
    </row>
    <row r="75" ht="14.25" customHeight="1">
      <c r="A75" s="143">
        <v>73.0</v>
      </c>
      <c r="B75" s="99"/>
      <c r="C75" s="115" t="s">
        <v>53</v>
      </c>
      <c r="D75" s="59">
        <v>0.0</v>
      </c>
      <c r="E75" s="25" t="str">
        <f t="shared" si="4"/>
        <v>0</v>
      </c>
      <c r="F75" s="116">
        <v>1.0</v>
      </c>
      <c r="G75" s="117" t="s">
        <v>10</v>
      </c>
      <c r="H75" s="103"/>
      <c r="I75" s="118" t="s">
        <v>54</v>
      </c>
      <c r="J75" s="105"/>
    </row>
    <row r="76" ht="14.25" customHeight="1">
      <c r="A76" s="143">
        <v>74.0</v>
      </c>
      <c r="B76" s="106"/>
      <c r="C76" s="107" t="s">
        <v>30</v>
      </c>
      <c r="D76" s="64">
        <v>2.0</v>
      </c>
      <c r="E76" s="9" t="str">
        <f t="shared" si="4"/>
        <v>2</v>
      </c>
      <c r="F76" s="108">
        <v>1.0</v>
      </c>
      <c r="G76" s="109" t="s">
        <v>10</v>
      </c>
      <c r="H76" s="88"/>
      <c r="I76" s="110" t="s">
        <v>80</v>
      </c>
      <c r="J76" s="90"/>
    </row>
    <row r="77" ht="14.25" customHeight="1">
      <c r="A77" s="143">
        <v>75.0</v>
      </c>
      <c r="B77" s="98"/>
      <c r="C77" s="111" t="s">
        <v>32</v>
      </c>
      <c r="D77" s="69">
        <v>0.0</v>
      </c>
      <c r="E77" s="50" t="str">
        <f t="shared" si="4"/>
        <v>0</v>
      </c>
      <c r="F77" s="112">
        <v>1.0</v>
      </c>
      <c r="G77" s="113" t="s">
        <v>10</v>
      </c>
      <c r="H77" s="95"/>
      <c r="I77" s="114" t="s">
        <v>33</v>
      </c>
      <c r="J77" s="97"/>
    </row>
    <row r="78" ht="14.25" customHeight="1">
      <c r="A78" s="143">
        <v>76.0</v>
      </c>
      <c r="B78" s="98"/>
      <c r="C78" s="111" t="s">
        <v>34</v>
      </c>
      <c r="D78" s="49">
        <v>17.0</v>
      </c>
      <c r="E78" s="50" t="str">
        <f t="shared" si="4"/>
        <v>11</v>
      </c>
      <c r="F78" s="112">
        <v>2.0</v>
      </c>
      <c r="G78" s="113" t="s">
        <v>10</v>
      </c>
      <c r="H78" s="95"/>
      <c r="I78" s="114" t="s">
        <v>35</v>
      </c>
      <c r="J78" s="97"/>
    </row>
    <row r="79" ht="14.25" customHeight="1">
      <c r="A79" s="143">
        <v>77.0</v>
      </c>
      <c r="B79" s="98"/>
      <c r="C79" s="111" t="s">
        <v>36</v>
      </c>
      <c r="D79" s="49">
        <v>16.0</v>
      </c>
      <c r="E79" s="50" t="str">
        <f t="shared" si="4"/>
        <v>10</v>
      </c>
      <c r="F79" s="112">
        <v>1.0</v>
      </c>
      <c r="G79" s="113" t="s">
        <v>10</v>
      </c>
      <c r="H79" s="95"/>
      <c r="I79" s="114" t="s">
        <v>37</v>
      </c>
      <c r="J79" s="97"/>
    </row>
    <row r="80" ht="14.25" customHeight="1">
      <c r="A80" s="143">
        <v>78.0</v>
      </c>
      <c r="B80" s="98"/>
      <c r="C80" s="111" t="s">
        <v>38</v>
      </c>
      <c r="D80" s="49">
        <v>16.0</v>
      </c>
      <c r="E80" s="50" t="str">
        <f t="shared" si="4"/>
        <v>10</v>
      </c>
      <c r="F80" s="112">
        <v>1.0</v>
      </c>
      <c r="G80" s="113" t="s">
        <v>10</v>
      </c>
      <c r="H80" s="95"/>
      <c r="I80" s="114" t="s">
        <v>39</v>
      </c>
      <c r="J80" s="97"/>
    </row>
    <row r="81" ht="14.25" customHeight="1">
      <c r="A81" s="143">
        <v>79.0</v>
      </c>
      <c r="B81" s="99"/>
      <c r="C81" s="115" t="s">
        <v>53</v>
      </c>
      <c r="D81" s="59">
        <v>0.0</v>
      </c>
      <c r="E81" s="25" t="str">
        <f t="shared" si="4"/>
        <v>0</v>
      </c>
      <c r="F81" s="116">
        <v>1.0</v>
      </c>
      <c r="G81" s="117" t="s">
        <v>10</v>
      </c>
      <c r="H81" s="103"/>
      <c r="I81" s="118" t="s">
        <v>54</v>
      </c>
      <c r="J81" s="105"/>
    </row>
    <row r="82" ht="14.25" customHeight="1">
      <c r="A82" s="143">
        <v>80.0</v>
      </c>
      <c r="B82" s="106"/>
      <c r="C82" s="107" t="s">
        <v>30</v>
      </c>
      <c r="D82" s="64">
        <v>2.0</v>
      </c>
      <c r="E82" s="9" t="str">
        <f t="shared" si="4"/>
        <v>2</v>
      </c>
      <c r="F82" s="108">
        <v>1.0</v>
      </c>
      <c r="G82" s="109" t="s">
        <v>10</v>
      </c>
      <c r="H82" s="88"/>
      <c r="I82" s="110" t="s">
        <v>81</v>
      </c>
      <c r="J82" s="90"/>
    </row>
    <row r="83" ht="14.25" customHeight="1">
      <c r="A83" s="143">
        <v>81.0</v>
      </c>
      <c r="B83" s="98"/>
      <c r="C83" s="111" t="s">
        <v>32</v>
      </c>
      <c r="D83" s="69">
        <v>0.0</v>
      </c>
      <c r="E83" s="50" t="str">
        <f t="shared" si="4"/>
        <v>0</v>
      </c>
      <c r="F83" s="112">
        <v>1.0</v>
      </c>
      <c r="G83" s="113" t="s">
        <v>10</v>
      </c>
      <c r="H83" s="95"/>
      <c r="I83" s="114" t="s">
        <v>33</v>
      </c>
      <c r="J83" s="97"/>
    </row>
    <row r="84" ht="14.25" customHeight="1">
      <c r="A84" s="143">
        <v>82.0</v>
      </c>
      <c r="B84" s="98"/>
      <c r="C84" s="111" t="s">
        <v>34</v>
      </c>
      <c r="D84" s="49">
        <v>13.0</v>
      </c>
      <c r="E84" s="50" t="str">
        <f t="shared" si="4"/>
        <v>D</v>
      </c>
      <c r="F84" s="112">
        <v>2.0</v>
      </c>
      <c r="G84" s="113" t="s">
        <v>10</v>
      </c>
      <c r="H84" s="95"/>
      <c r="I84" s="114" t="s">
        <v>35</v>
      </c>
      <c r="J84" s="97"/>
    </row>
    <row r="85" ht="14.25" customHeight="1">
      <c r="A85" s="143">
        <v>83.0</v>
      </c>
      <c r="B85" s="98"/>
      <c r="C85" s="111" t="s">
        <v>36</v>
      </c>
      <c r="D85" s="49">
        <v>16.0</v>
      </c>
      <c r="E85" s="50" t="str">
        <f t="shared" si="4"/>
        <v>10</v>
      </c>
      <c r="F85" s="112">
        <v>1.0</v>
      </c>
      <c r="G85" s="113" t="s">
        <v>10</v>
      </c>
      <c r="H85" s="95"/>
      <c r="I85" s="114" t="s">
        <v>37</v>
      </c>
      <c r="J85" s="97"/>
    </row>
    <row r="86" ht="14.25" customHeight="1">
      <c r="A86" s="143">
        <v>84.0</v>
      </c>
      <c r="B86" s="98"/>
      <c r="C86" s="111" t="s">
        <v>38</v>
      </c>
      <c r="D86" s="49">
        <v>32.0</v>
      </c>
      <c r="E86" s="50" t="str">
        <f t="shared" si="4"/>
        <v>20</v>
      </c>
      <c r="F86" s="112">
        <v>1.0</v>
      </c>
      <c r="G86" s="113" t="s">
        <v>10</v>
      </c>
      <c r="H86" s="95"/>
      <c r="I86" s="114" t="s">
        <v>39</v>
      </c>
      <c r="J86" s="97"/>
    </row>
    <row r="87" ht="14.25" customHeight="1">
      <c r="A87" s="143">
        <v>85.0</v>
      </c>
      <c r="B87" s="99"/>
      <c r="C87" s="115" t="s">
        <v>53</v>
      </c>
      <c r="D87" s="59">
        <v>0.0</v>
      </c>
      <c r="E87" s="25" t="str">
        <f t="shared" si="4"/>
        <v>0</v>
      </c>
      <c r="F87" s="116">
        <v>1.0</v>
      </c>
      <c r="G87" s="117" t="s">
        <v>10</v>
      </c>
      <c r="H87" s="103"/>
      <c r="I87" s="118" t="s">
        <v>54</v>
      </c>
      <c r="J87" s="105"/>
    </row>
    <row r="88" ht="14.25" customHeight="1">
      <c r="A88" s="143">
        <v>86.0</v>
      </c>
      <c r="B88" s="106"/>
      <c r="C88" s="107" t="s">
        <v>30</v>
      </c>
      <c r="D88" s="64">
        <v>2.0</v>
      </c>
      <c r="E88" s="9" t="str">
        <f t="shared" si="4"/>
        <v>2</v>
      </c>
      <c r="F88" s="108">
        <v>1.0</v>
      </c>
      <c r="G88" s="109" t="s">
        <v>10</v>
      </c>
      <c r="H88" s="88"/>
      <c r="I88" s="110" t="s">
        <v>82</v>
      </c>
      <c r="J88" s="90"/>
    </row>
    <row r="89" ht="14.25" customHeight="1">
      <c r="A89" s="143">
        <v>87.0</v>
      </c>
      <c r="B89" s="98"/>
      <c r="C89" s="111" t="s">
        <v>32</v>
      </c>
      <c r="D89" s="69">
        <v>0.0</v>
      </c>
      <c r="E89" s="50" t="str">
        <f t="shared" si="4"/>
        <v>0</v>
      </c>
      <c r="F89" s="112">
        <v>1.0</v>
      </c>
      <c r="G89" s="113" t="s">
        <v>10</v>
      </c>
      <c r="H89" s="95"/>
      <c r="I89" s="114" t="s">
        <v>33</v>
      </c>
      <c r="J89" s="97"/>
    </row>
    <row r="90" ht="14.25" customHeight="1">
      <c r="A90" s="143">
        <v>88.0</v>
      </c>
      <c r="B90" s="98"/>
      <c r="C90" s="111" t="s">
        <v>34</v>
      </c>
      <c r="D90" s="49">
        <v>14.0</v>
      </c>
      <c r="E90" s="50" t="str">
        <f t="shared" si="4"/>
        <v>E</v>
      </c>
      <c r="F90" s="112">
        <v>2.0</v>
      </c>
      <c r="G90" s="113" t="s">
        <v>10</v>
      </c>
      <c r="H90" s="95"/>
      <c r="I90" s="114" t="s">
        <v>35</v>
      </c>
      <c r="J90" s="97"/>
    </row>
    <row r="91" ht="14.25" customHeight="1">
      <c r="A91" s="143">
        <v>89.0</v>
      </c>
      <c r="B91" s="98"/>
      <c r="C91" s="111" t="s">
        <v>36</v>
      </c>
      <c r="D91" s="49">
        <v>16.0</v>
      </c>
      <c r="E91" s="50" t="str">
        <f t="shared" si="4"/>
        <v>10</v>
      </c>
      <c r="F91" s="112">
        <v>1.0</v>
      </c>
      <c r="G91" s="113" t="s">
        <v>10</v>
      </c>
      <c r="H91" s="95"/>
      <c r="I91" s="114" t="s">
        <v>37</v>
      </c>
      <c r="J91" s="97"/>
    </row>
    <row r="92" ht="14.25" customHeight="1">
      <c r="A92" s="143">
        <v>90.0</v>
      </c>
      <c r="B92" s="98"/>
      <c r="C92" s="111" t="s">
        <v>38</v>
      </c>
      <c r="D92" s="49">
        <v>48.0</v>
      </c>
      <c r="E92" s="50" t="str">
        <f t="shared" si="4"/>
        <v>30</v>
      </c>
      <c r="F92" s="112">
        <v>1.0</v>
      </c>
      <c r="G92" s="113" t="s">
        <v>10</v>
      </c>
      <c r="H92" s="95"/>
      <c r="I92" s="114" t="s">
        <v>39</v>
      </c>
      <c r="J92" s="97"/>
    </row>
    <row r="93" ht="14.25" customHeight="1">
      <c r="A93" s="143">
        <v>91.0</v>
      </c>
      <c r="B93" s="99"/>
      <c r="C93" s="115" t="s">
        <v>53</v>
      </c>
      <c r="D93" s="59">
        <v>0.0</v>
      </c>
      <c r="E93" s="25" t="str">
        <f t="shared" si="4"/>
        <v>0</v>
      </c>
      <c r="F93" s="116">
        <v>1.0</v>
      </c>
      <c r="G93" s="117" t="s">
        <v>10</v>
      </c>
      <c r="H93" s="103"/>
      <c r="I93" s="118" t="s">
        <v>54</v>
      </c>
      <c r="J93" s="105"/>
    </row>
    <row r="94" ht="14.25" customHeight="1">
      <c r="A94" s="143">
        <v>92.0</v>
      </c>
      <c r="B94" s="119"/>
      <c r="C94" s="120" t="s">
        <v>56</v>
      </c>
      <c r="D94" s="64">
        <v>500.0</v>
      </c>
      <c r="E94" s="121" t="str">
        <f t="shared" si="4"/>
        <v>1F4</v>
      </c>
      <c r="F94" s="122">
        <v>2.0</v>
      </c>
      <c r="G94" s="10" t="s">
        <v>10</v>
      </c>
      <c r="H94" s="123"/>
      <c r="I94" s="120" t="s">
        <v>57</v>
      </c>
      <c r="J94" s="13"/>
    </row>
    <row r="95" ht="14.25" customHeight="1">
      <c r="A95" s="143">
        <v>93.0</v>
      </c>
      <c r="B95" s="124"/>
      <c r="C95" s="125" t="s">
        <v>58</v>
      </c>
      <c r="D95" s="126">
        <v>0.0</v>
      </c>
      <c r="E95" s="127" t="str">
        <f t="shared" si="4"/>
        <v>0</v>
      </c>
      <c r="F95" s="127">
        <v>1.0</v>
      </c>
      <c r="G95" s="33" t="s">
        <v>10</v>
      </c>
      <c r="H95" s="128"/>
      <c r="I95" s="129" t="s">
        <v>59</v>
      </c>
      <c r="J95" s="26"/>
    </row>
    <row r="96" ht="14.25" customHeight="1">
      <c r="A96" s="143">
        <v>94.0</v>
      </c>
      <c r="B96" s="131"/>
      <c r="C96" s="132" t="s">
        <v>60</v>
      </c>
      <c r="D96" s="133">
        <v>0.0</v>
      </c>
      <c r="E96" s="134" t="str">
        <f t="shared" si="4"/>
        <v>0</v>
      </c>
      <c r="F96" s="135">
        <v>1.0</v>
      </c>
      <c r="G96" s="33" t="s">
        <v>10</v>
      </c>
      <c r="H96" s="82"/>
      <c r="I96" s="136" t="s">
        <v>61</v>
      </c>
      <c r="J96" s="34"/>
    </row>
    <row r="97" ht="14.25" customHeight="1">
      <c r="B97" s="130"/>
      <c r="C97" s="130"/>
      <c r="D97" s="130"/>
      <c r="E97" s="130"/>
      <c r="F97" s="130"/>
      <c r="G97" s="130"/>
      <c r="H97" s="130"/>
      <c r="I97" s="130"/>
      <c r="J97" s="130"/>
    </row>
    <row r="98" ht="14.25" customHeight="1"/>
    <row r="99" ht="14.25" customHeight="1"/>
    <row r="100" ht="14.25" customHeight="1"/>
    <row r="101" ht="14.25" customHeight="1">
      <c r="C101" s="137" t="s">
        <v>62</v>
      </c>
      <c r="D101" s="138"/>
      <c r="E101" s="138"/>
      <c r="F101" s="139">
        <f>SUM(F4:F100)</f>
        <v>112</v>
      </c>
    </row>
    <row r="102" ht="14.25" customHeight="1">
      <c r="C102" s="22" t="s">
        <v>63</v>
      </c>
      <c r="D102" s="140"/>
      <c r="E102" s="140"/>
      <c r="F102" s="141">
        <f> F101/2</f>
        <v>56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>
      <c r="E123" s="37"/>
    </row>
    <row r="124" ht="14.25" customHeight="1">
      <c r="E124" s="37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.71"/>
    <col customWidth="1" min="3" max="3" width="30.71"/>
    <col customWidth="1" min="4" max="5" width="6.57"/>
    <col customWidth="1" min="6" max="6" width="8.14"/>
    <col customWidth="1" min="7" max="7" width="6.0"/>
    <col customWidth="1" min="8" max="8" width="3.71"/>
    <col customWidth="1" min="9" max="9" width="109.0"/>
    <col customWidth="1" min="10" max="10" width="4.43"/>
    <col customWidth="1" min="11" max="26" width="9.14"/>
  </cols>
  <sheetData>
    <row r="1" ht="14.25" customHeight="1">
      <c r="A1" s="1" t="s">
        <v>0</v>
      </c>
      <c r="B1" s="2"/>
      <c r="C1" s="14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/>
      <c r="I1" s="2" t="s">
        <v>6</v>
      </c>
      <c r="J1" s="3"/>
    </row>
    <row r="2" ht="14.25" customHeight="1">
      <c r="A2" s="143" t="s">
        <v>7</v>
      </c>
      <c r="B2" s="5"/>
      <c r="C2" s="6" t="s">
        <v>8</v>
      </c>
      <c r="D2" s="7">
        <v>56.0</v>
      </c>
      <c r="E2" s="8"/>
      <c r="F2" s="9" t="s">
        <v>9</v>
      </c>
      <c r="G2" s="10" t="s">
        <v>10</v>
      </c>
      <c r="H2" s="11"/>
      <c r="I2" s="12" t="s">
        <v>11</v>
      </c>
      <c r="J2" s="13"/>
    </row>
    <row r="3" ht="14.25" customHeight="1">
      <c r="A3" s="143">
        <v>1.0</v>
      </c>
      <c r="B3" s="15"/>
      <c r="C3" s="16" t="s">
        <v>12</v>
      </c>
      <c r="D3" s="17" t="s">
        <v>13</v>
      </c>
      <c r="E3" s="18"/>
      <c r="F3" s="18"/>
      <c r="G3" s="18"/>
      <c r="H3" s="19"/>
      <c r="I3" s="20" t="s">
        <v>14</v>
      </c>
      <c r="J3" s="21"/>
    </row>
    <row r="4" ht="14.25" customHeight="1">
      <c r="A4" s="143">
        <v>2.0</v>
      </c>
      <c r="B4" s="22"/>
      <c r="C4" s="23" t="s">
        <v>15</v>
      </c>
      <c r="D4" s="24">
        <v>1.0</v>
      </c>
      <c r="E4" s="25" t="str">
        <f t="shared" ref="E4:E5" si="1"> DEC2HEX(D4)</f>
        <v>1</v>
      </c>
      <c r="F4" s="25">
        <v>1.0</v>
      </c>
      <c r="G4" s="10" t="s">
        <v>10</v>
      </c>
      <c r="H4" s="26"/>
      <c r="I4" s="27" t="s">
        <v>83</v>
      </c>
      <c r="J4" s="28"/>
    </row>
    <row r="5" ht="14.25" customHeight="1">
      <c r="A5" s="143">
        <v>3.0</v>
      </c>
      <c r="B5" s="29"/>
      <c r="C5" s="30" t="s">
        <v>17</v>
      </c>
      <c r="D5" s="31">
        <v>2.0</v>
      </c>
      <c r="E5" s="25" t="str">
        <f t="shared" si="1"/>
        <v>2</v>
      </c>
      <c r="F5" s="32">
        <v>1.0</v>
      </c>
      <c r="G5" s="33" t="s">
        <v>10</v>
      </c>
      <c r="H5" s="34"/>
      <c r="I5" s="35" t="s">
        <v>84</v>
      </c>
      <c r="J5" s="34"/>
    </row>
    <row r="6" ht="14.25" customHeight="1">
      <c r="A6" s="143">
        <v>4.0</v>
      </c>
      <c r="B6" s="38"/>
      <c r="C6" s="39" t="s">
        <v>19</v>
      </c>
      <c r="D6" s="40" t="s">
        <v>66</v>
      </c>
      <c r="E6" s="41">
        <v>284.0</v>
      </c>
      <c r="F6" s="42">
        <v>2.0</v>
      </c>
      <c r="G6" s="43" t="s">
        <v>10</v>
      </c>
      <c r="H6" s="44"/>
      <c r="I6" s="45" t="s">
        <v>85</v>
      </c>
      <c r="J6" s="46"/>
    </row>
    <row r="7" ht="14.25" customHeight="1">
      <c r="A7" s="143">
        <v>5.0</v>
      </c>
      <c r="B7" s="47"/>
      <c r="C7" s="48" t="s">
        <v>22</v>
      </c>
      <c r="D7" s="49">
        <v>5.0</v>
      </c>
      <c r="E7" s="50" t="str">
        <f t="shared" ref="E7:E34" si="2"> DEC2HEX(D7)</f>
        <v>5</v>
      </c>
      <c r="F7" s="51">
        <v>2.0</v>
      </c>
      <c r="G7" s="52" t="s">
        <v>10</v>
      </c>
      <c r="H7" s="53"/>
      <c r="I7" s="54" t="s">
        <v>23</v>
      </c>
      <c r="J7" s="55"/>
    </row>
    <row r="8" ht="14.25" customHeight="1">
      <c r="A8" s="143">
        <v>6.0</v>
      </c>
      <c r="B8" s="47"/>
      <c r="C8" s="48" t="s">
        <v>24</v>
      </c>
      <c r="D8" s="49">
        <v>8.0</v>
      </c>
      <c r="E8" s="50" t="str">
        <f t="shared" si="2"/>
        <v>8</v>
      </c>
      <c r="F8" s="51">
        <v>1.0</v>
      </c>
      <c r="G8" s="52" t="s">
        <v>10</v>
      </c>
      <c r="H8" s="53"/>
      <c r="I8" s="54" t="s">
        <v>25</v>
      </c>
      <c r="J8" s="55"/>
    </row>
    <row r="9" ht="14.25" customHeight="1">
      <c r="A9" s="143">
        <v>7.0</v>
      </c>
      <c r="B9" s="47"/>
      <c r="C9" s="56" t="s">
        <v>26</v>
      </c>
      <c r="D9" s="49">
        <v>0.0</v>
      </c>
      <c r="E9" s="50" t="str">
        <f t="shared" si="2"/>
        <v>0</v>
      </c>
      <c r="F9" s="51">
        <v>1.0</v>
      </c>
      <c r="G9" s="52" t="s">
        <v>10</v>
      </c>
      <c r="H9" s="53"/>
      <c r="I9" s="57" t="s">
        <v>27</v>
      </c>
      <c r="J9" s="55"/>
    </row>
    <row r="10" ht="14.25" customHeight="1">
      <c r="A10" s="143">
        <v>8.0</v>
      </c>
      <c r="B10" s="47"/>
      <c r="C10" s="58" t="s">
        <v>28</v>
      </c>
      <c r="D10" s="59">
        <v>4.0</v>
      </c>
      <c r="E10" s="25" t="str">
        <f t="shared" si="2"/>
        <v>4</v>
      </c>
      <c r="F10" s="60">
        <v>1.0</v>
      </c>
      <c r="G10" s="61" t="s">
        <v>10</v>
      </c>
      <c r="H10" s="53"/>
      <c r="I10" s="62" t="s">
        <v>29</v>
      </c>
      <c r="J10" s="55"/>
    </row>
    <row r="11" ht="14.25" customHeight="1">
      <c r="A11" s="143">
        <v>9.0</v>
      </c>
      <c r="B11" s="47"/>
      <c r="C11" s="63" t="s">
        <v>30</v>
      </c>
      <c r="D11" s="64">
        <v>2.0</v>
      </c>
      <c r="E11" s="9" t="str">
        <f t="shared" si="2"/>
        <v>2</v>
      </c>
      <c r="F11" s="65">
        <v>1.0</v>
      </c>
      <c r="G11" s="66" t="s">
        <v>10</v>
      </c>
      <c r="H11" s="53"/>
      <c r="I11" s="67" t="s">
        <v>86</v>
      </c>
      <c r="J11" s="55"/>
    </row>
    <row r="12" ht="14.25" customHeight="1">
      <c r="A12" s="143">
        <v>10.0</v>
      </c>
      <c r="B12" s="47"/>
      <c r="C12" s="68" t="s">
        <v>32</v>
      </c>
      <c r="D12" s="69">
        <v>0.0</v>
      </c>
      <c r="E12" s="50" t="str">
        <f t="shared" si="2"/>
        <v>0</v>
      </c>
      <c r="F12" s="70">
        <v>1.0</v>
      </c>
      <c r="G12" s="52" t="s">
        <v>10</v>
      </c>
      <c r="H12" s="53"/>
      <c r="I12" s="71" t="s">
        <v>33</v>
      </c>
      <c r="J12" s="55"/>
    </row>
    <row r="13" ht="14.25" customHeight="1">
      <c r="A13" s="143">
        <v>11.0</v>
      </c>
      <c r="B13" s="47"/>
      <c r="C13" s="68" t="s">
        <v>34</v>
      </c>
      <c r="D13" s="49">
        <v>3.0</v>
      </c>
      <c r="E13" s="50" t="str">
        <f t="shared" si="2"/>
        <v>3</v>
      </c>
      <c r="F13" s="70">
        <v>2.0</v>
      </c>
      <c r="G13" s="52" t="s">
        <v>10</v>
      </c>
      <c r="H13" s="53"/>
      <c r="I13" s="72" t="s">
        <v>35</v>
      </c>
      <c r="J13" s="55"/>
    </row>
    <row r="14" ht="14.25" customHeight="1">
      <c r="A14" s="143">
        <v>12.0</v>
      </c>
      <c r="B14" s="47"/>
      <c r="C14" s="68" t="s">
        <v>36</v>
      </c>
      <c r="D14" s="49">
        <v>16.0</v>
      </c>
      <c r="E14" s="50" t="str">
        <f t="shared" si="2"/>
        <v>10</v>
      </c>
      <c r="F14" s="70">
        <v>1.0</v>
      </c>
      <c r="G14" s="52" t="s">
        <v>10</v>
      </c>
      <c r="H14" s="53"/>
      <c r="I14" s="71" t="s">
        <v>37</v>
      </c>
      <c r="J14" s="55"/>
    </row>
    <row r="15" ht="14.25" customHeight="1">
      <c r="A15" s="143">
        <v>13.0</v>
      </c>
      <c r="B15" s="47"/>
      <c r="C15" s="68" t="s">
        <v>38</v>
      </c>
      <c r="D15" s="49">
        <v>0.0</v>
      </c>
      <c r="E15" s="50" t="str">
        <f t="shared" si="2"/>
        <v>0</v>
      </c>
      <c r="F15" s="70">
        <v>1.0</v>
      </c>
      <c r="G15" s="52" t="s">
        <v>10</v>
      </c>
      <c r="H15" s="53"/>
      <c r="I15" s="72" t="s">
        <v>39</v>
      </c>
      <c r="J15" s="55"/>
    </row>
    <row r="16" ht="14.25" customHeight="1">
      <c r="A16" s="143">
        <v>14.0</v>
      </c>
      <c r="B16" s="73"/>
      <c r="C16" s="74" t="s">
        <v>40</v>
      </c>
      <c r="D16" s="59">
        <v>0.0</v>
      </c>
      <c r="E16" s="25" t="str">
        <f t="shared" si="2"/>
        <v>0</v>
      </c>
      <c r="F16" s="75">
        <v>1.0</v>
      </c>
      <c r="G16" s="76" t="s">
        <v>10</v>
      </c>
      <c r="H16" s="77"/>
      <c r="I16" s="78" t="s">
        <v>41</v>
      </c>
      <c r="J16" s="79"/>
    </row>
    <row r="17" ht="14.25" customHeight="1">
      <c r="A17" s="143">
        <v>15.0</v>
      </c>
      <c r="B17" s="38"/>
      <c r="C17" s="63" t="s">
        <v>30</v>
      </c>
      <c r="D17" s="64">
        <v>2.0</v>
      </c>
      <c r="E17" s="9" t="str">
        <f t="shared" si="2"/>
        <v>2</v>
      </c>
      <c r="F17" s="65">
        <v>1.0</v>
      </c>
      <c r="G17" s="66" t="s">
        <v>10</v>
      </c>
      <c r="H17" s="44"/>
      <c r="I17" s="67" t="s">
        <v>87</v>
      </c>
      <c r="J17" s="46"/>
    </row>
    <row r="18" ht="14.25" customHeight="1">
      <c r="A18" s="143">
        <v>16.0</v>
      </c>
      <c r="B18" s="47"/>
      <c r="C18" s="68" t="s">
        <v>32</v>
      </c>
      <c r="D18" s="69">
        <v>0.0</v>
      </c>
      <c r="E18" s="50" t="str">
        <f t="shared" si="2"/>
        <v>0</v>
      </c>
      <c r="F18" s="70">
        <v>1.0</v>
      </c>
      <c r="G18" s="52" t="s">
        <v>10</v>
      </c>
      <c r="H18" s="53"/>
      <c r="I18" s="71" t="s">
        <v>33</v>
      </c>
      <c r="J18" s="55"/>
    </row>
    <row r="19" ht="14.25" customHeight="1">
      <c r="A19" s="143">
        <v>17.0</v>
      </c>
      <c r="B19" s="47"/>
      <c r="C19" s="68" t="s">
        <v>34</v>
      </c>
      <c r="D19" s="49">
        <v>5.0</v>
      </c>
      <c r="E19" s="50" t="str">
        <f t="shared" si="2"/>
        <v>5</v>
      </c>
      <c r="F19" s="70">
        <v>2.0</v>
      </c>
      <c r="G19" s="52" t="s">
        <v>10</v>
      </c>
      <c r="H19" s="53"/>
      <c r="I19" s="72" t="s">
        <v>35</v>
      </c>
      <c r="J19" s="55"/>
    </row>
    <row r="20" ht="14.25" customHeight="1">
      <c r="A20" s="143">
        <v>18.0</v>
      </c>
      <c r="B20" s="47"/>
      <c r="C20" s="68" t="s">
        <v>36</v>
      </c>
      <c r="D20" s="49">
        <v>16.0</v>
      </c>
      <c r="E20" s="50" t="str">
        <f t="shared" si="2"/>
        <v>10</v>
      </c>
      <c r="F20" s="70">
        <v>1.0</v>
      </c>
      <c r="G20" s="52" t="s">
        <v>10</v>
      </c>
      <c r="H20" s="53"/>
      <c r="I20" s="71" t="s">
        <v>37</v>
      </c>
      <c r="J20" s="55"/>
    </row>
    <row r="21" ht="14.25" customHeight="1">
      <c r="A21" s="143">
        <v>19.0</v>
      </c>
      <c r="B21" s="47"/>
      <c r="C21" s="68" t="s">
        <v>38</v>
      </c>
      <c r="D21" s="49">
        <v>16.0</v>
      </c>
      <c r="E21" s="50" t="str">
        <f t="shared" si="2"/>
        <v>10</v>
      </c>
      <c r="F21" s="70">
        <v>1.0</v>
      </c>
      <c r="G21" s="52" t="s">
        <v>10</v>
      </c>
      <c r="H21" s="53"/>
      <c r="I21" s="72" t="s">
        <v>39</v>
      </c>
      <c r="J21" s="55"/>
    </row>
    <row r="22" ht="14.25" customHeight="1">
      <c r="A22" s="143">
        <v>20.0</v>
      </c>
      <c r="B22" s="73"/>
      <c r="C22" s="74" t="s">
        <v>40</v>
      </c>
      <c r="D22" s="59">
        <v>2.0</v>
      </c>
      <c r="E22" s="25" t="str">
        <f t="shared" si="2"/>
        <v>2</v>
      </c>
      <c r="F22" s="75">
        <v>1.0</v>
      </c>
      <c r="G22" s="76" t="s">
        <v>10</v>
      </c>
      <c r="H22" s="77"/>
      <c r="I22" s="78" t="s">
        <v>41</v>
      </c>
      <c r="J22" s="79"/>
    </row>
    <row r="23" ht="14.25" customHeight="1">
      <c r="A23" s="143">
        <v>21.0</v>
      </c>
      <c r="B23" s="38"/>
      <c r="C23" s="63" t="s">
        <v>30</v>
      </c>
      <c r="D23" s="64">
        <v>2.0</v>
      </c>
      <c r="E23" s="9" t="str">
        <f t="shared" si="2"/>
        <v>2</v>
      </c>
      <c r="F23" s="65">
        <v>1.0</v>
      </c>
      <c r="G23" s="66" t="s">
        <v>10</v>
      </c>
      <c r="H23" s="44"/>
      <c r="I23" s="67" t="s">
        <v>88</v>
      </c>
      <c r="J23" s="46"/>
    </row>
    <row r="24" ht="14.25" customHeight="1">
      <c r="A24" s="143">
        <v>22.0</v>
      </c>
      <c r="B24" s="47"/>
      <c r="C24" s="68" t="s">
        <v>32</v>
      </c>
      <c r="D24" s="69">
        <v>0.0</v>
      </c>
      <c r="E24" s="50" t="str">
        <f t="shared" si="2"/>
        <v>0</v>
      </c>
      <c r="F24" s="70">
        <v>1.0</v>
      </c>
      <c r="G24" s="52" t="s">
        <v>10</v>
      </c>
      <c r="H24" s="53"/>
      <c r="I24" s="71" t="s">
        <v>33</v>
      </c>
      <c r="J24" s="55"/>
    </row>
    <row r="25" ht="14.25" customHeight="1">
      <c r="A25" s="143">
        <v>23.0</v>
      </c>
      <c r="B25" s="47"/>
      <c r="C25" s="68" t="s">
        <v>34</v>
      </c>
      <c r="D25" s="49">
        <v>25.0</v>
      </c>
      <c r="E25" s="50" t="str">
        <f t="shared" si="2"/>
        <v>19</v>
      </c>
      <c r="F25" s="70">
        <v>2.0</v>
      </c>
      <c r="G25" s="52" t="s">
        <v>10</v>
      </c>
      <c r="H25" s="53"/>
      <c r="I25" s="72" t="s">
        <v>35</v>
      </c>
      <c r="J25" s="55"/>
    </row>
    <row r="26" ht="14.25" customHeight="1">
      <c r="A26" s="143">
        <v>24.0</v>
      </c>
      <c r="B26" s="47"/>
      <c r="C26" s="68" t="s">
        <v>36</v>
      </c>
      <c r="D26" s="49">
        <v>16.0</v>
      </c>
      <c r="E26" s="50" t="str">
        <f t="shared" si="2"/>
        <v>10</v>
      </c>
      <c r="F26" s="70">
        <v>1.0</v>
      </c>
      <c r="G26" s="52" t="s">
        <v>10</v>
      </c>
      <c r="H26" s="53"/>
      <c r="I26" s="71" t="s">
        <v>37</v>
      </c>
      <c r="J26" s="55"/>
    </row>
    <row r="27" ht="14.25" customHeight="1">
      <c r="A27" s="143">
        <v>25.0</v>
      </c>
      <c r="B27" s="47"/>
      <c r="C27" s="68" t="s">
        <v>38</v>
      </c>
      <c r="D27" s="49">
        <v>32.0</v>
      </c>
      <c r="E27" s="50" t="str">
        <f t="shared" si="2"/>
        <v>20</v>
      </c>
      <c r="F27" s="70">
        <v>1.0</v>
      </c>
      <c r="G27" s="52" t="s">
        <v>10</v>
      </c>
      <c r="H27" s="53"/>
      <c r="I27" s="72" t="s">
        <v>39</v>
      </c>
      <c r="J27" s="55"/>
    </row>
    <row r="28" ht="14.25" customHeight="1">
      <c r="A28" s="143">
        <v>26.0</v>
      </c>
      <c r="B28" s="73"/>
      <c r="C28" s="74" t="s">
        <v>40</v>
      </c>
      <c r="D28" s="59">
        <v>2.0</v>
      </c>
      <c r="E28" s="25" t="str">
        <f t="shared" si="2"/>
        <v>2</v>
      </c>
      <c r="F28" s="75">
        <v>1.0</v>
      </c>
      <c r="G28" s="76" t="s">
        <v>10</v>
      </c>
      <c r="H28" s="77"/>
      <c r="I28" s="78" t="s">
        <v>41</v>
      </c>
      <c r="J28" s="79"/>
    </row>
    <row r="29" ht="14.25" customHeight="1">
      <c r="A29" s="143">
        <v>27.0</v>
      </c>
      <c r="B29" s="38"/>
      <c r="C29" s="63" t="s">
        <v>30</v>
      </c>
      <c r="D29" s="64">
        <v>2.0</v>
      </c>
      <c r="E29" s="9" t="str">
        <f t="shared" si="2"/>
        <v>2</v>
      </c>
      <c r="F29" s="65">
        <v>1.0</v>
      </c>
      <c r="G29" s="66" t="s">
        <v>10</v>
      </c>
      <c r="H29" s="44"/>
      <c r="I29" s="67" t="s">
        <v>89</v>
      </c>
      <c r="J29" s="46"/>
    </row>
    <row r="30" ht="14.25" customHeight="1">
      <c r="A30" s="143">
        <v>28.0</v>
      </c>
      <c r="B30" s="47"/>
      <c r="C30" s="68" t="s">
        <v>32</v>
      </c>
      <c r="D30" s="69">
        <v>0.0</v>
      </c>
      <c r="E30" s="50" t="str">
        <f t="shared" si="2"/>
        <v>0</v>
      </c>
      <c r="F30" s="70">
        <v>1.0</v>
      </c>
      <c r="G30" s="52" t="s">
        <v>10</v>
      </c>
      <c r="H30" s="53"/>
      <c r="I30" s="71" t="s">
        <v>33</v>
      </c>
      <c r="J30" s="55"/>
    </row>
    <row r="31" ht="14.25" customHeight="1">
      <c r="A31" s="143">
        <v>29.0</v>
      </c>
      <c r="B31" s="47"/>
      <c r="C31" s="68" t="s">
        <v>34</v>
      </c>
      <c r="D31" s="49">
        <v>26.0</v>
      </c>
      <c r="E31" s="50" t="str">
        <f t="shared" si="2"/>
        <v>1A</v>
      </c>
      <c r="F31" s="70">
        <v>2.0</v>
      </c>
      <c r="G31" s="52" t="s">
        <v>10</v>
      </c>
      <c r="H31" s="53"/>
      <c r="I31" s="72" t="s">
        <v>35</v>
      </c>
      <c r="J31" s="55"/>
    </row>
    <row r="32" ht="14.25" customHeight="1">
      <c r="A32" s="143">
        <v>30.0</v>
      </c>
      <c r="B32" s="47"/>
      <c r="C32" s="68" t="s">
        <v>36</v>
      </c>
      <c r="D32" s="49">
        <v>16.0</v>
      </c>
      <c r="E32" s="50" t="str">
        <f t="shared" si="2"/>
        <v>10</v>
      </c>
      <c r="F32" s="70">
        <v>1.0</v>
      </c>
      <c r="G32" s="52" t="s">
        <v>10</v>
      </c>
      <c r="H32" s="53"/>
      <c r="I32" s="71" t="s">
        <v>37</v>
      </c>
      <c r="J32" s="55"/>
    </row>
    <row r="33" ht="14.25" customHeight="1">
      <c r="A33" s="143">
        <v>31.0</v>
      </c>
      <c r="B33" s="47"/>
      <c r="C33" s="68" t="s">
        <v>38</v>
      </c>
      <c r="D33" s="49">
        <v>48.0</v>
      </c>
      <c r="E33" s="50" t="str">
        <f t="shared" si="2"/>
        <v>30</v>
      </c>
      <c r="F33" s="70">
        <v>1.0</v>
      </c>
      <c r="G33" s="52" t="s">
        <v>10</v>
      </c>
      <c r="H33" s="53"/>
      <c r="I33" s="72" t="s">
        <v>39</v>
      </c>
      <c r="J33" s="55"/>
    </row>
    <row r="34" ht="14.25" customHeight="1">
      <c r="A34" s="143">
        <v>32.0</v>
      </c>
      <c r="B34" s="73"/>
      <c r="C34" s="74" t="s">
        <v>40</v>
      </c>
      <c r="D34" s="59">
        <v>2.0</v>
      </c>
      <c r="E34" s="25" t="str">
        <f t="shared" si="2"/>
        <v>2</v>
      </c>
      <c r="F34" s="75">
        <v>1.0</v>
      </c>
      <c r="G34" s="76" t="s">
        <v>10</v>
      </c>
      <c r="H34" s="77"/>
      <c r="I34" s="78" t="s">
        <v>41</v>
      </c>
      <c r="J34" s="79"/>
    </row>
    <row r="35" ht="14.25" customHeight="1">
      <c r="A35" s="143">
        <v>33.0</v>
      </c>
      <c r="B35" s="38"/>
      <c r="C35" s="39" t="s">
        <v>19</v>
      </c>
      <c r="D35" s="40" t="s">
        <v>66</v>
      </c>
      <c r="E35" s="41">
        <v>286.0</v>
      </c>
      <c r="F35" s="42">
        <v>2.0</v>
      </c>
      <c r="G35" s="43" t="s">
        <v>10</v>
      </c>
      <c r="H35" s="44"/>
      <c r="I35" s="45" t="s">
        <v>90</v>
      </c>
      <c r="J35" s="46"/>
    </row>
    <row r="36" ht="14.25" customHeight="1">
      <c r="A36" s="143">
        <v>34.0</v>
      </c>
      <c r="B36" s="47"/>
      <c r="C36" s="48" t="s">
        <v>22</v>
      </c>
      <c r="D36" s="49">
        <v>5.0</v>
      </c>
      <c r="E36" s="50" t="str">
        <f t="shared" ref="E36:E64" si="3"> DEC2HEX(D36)</f>
        <v>5</v>
      </c>
      <c r="F36" s="51">
        <v>2.0</v>
      </c>
      <c r="G36" s="52" t="s">
        <v>10</v>
      </c>
      <c r="H36" s="53"/>
      <c r="I36" s="54" t="s">
        <v>23</v>
      </c>
      <c r="J36" s="55"/>
    </row>
    <row r="37" ht="14.25" customHeight="1">
      <c r="A37" s="143">
        <v>35.0</v>
      </c>
      <c r="B37" s="47"/>
      <c r="C37" s="48" t="s">
        <v>24</v>
      </c>
      <c r="D37" s="49">
        <v>8.0</v>
      </c>
      <c r="E37" s="50" t="str">
        <f t="shared" si="3"/>
        <v>8</v>
      </c>
      <c r="F37" s="51">
        <v>1.0</v>
      </c>
      <c r="G37" s="52" t="s">
        <v>10</v>
      </c>
      <c r="H37" s="53"/>
      <c r="I37" s="54" t="s">
        <v>25</v>
      </c>
      <c r="J37" s="55"/>
    </row>
    <row r="38" ht="14.25" customHeight="1">
      <c r="A38" s="143">
        <v>36.0</v>
      </c>
      <c r="B38" s="47"/>
      <c r="C38" s="56" t="s">
        <v>26</v>
      </c>
      <c r="D38" s="49">
        <v>0.0</v>
      </c>
      <c r="E38" s="50" t="str">
        <f t="shared" si="3"/>
        <v>0</v>
      </c>
      <c r="F38" s="51">
        <v>1.0</v>
      </c>
      <c r="G38" s="52" t="s">
        <v>10</v>
      </c>
      <c r="H38" s="53"/>
      <c r="I38" s="57" t="s">
        <v>27</v>
      </c>
      <c r="J38" s="55"/>
    </row>
    <row r="39" ht="14.25" customHeight="1">
      <c r="A39" s="143">
        <v>37.0</v>
      </c>
      <c r="B39" s="47"/>
      <c r="C39" s="58" t="s">
        <v>28</v>
      </c>
      <c r="D39" s="59">
        <v>4.0</v>
      </c>
      <c r="E39" s="25" t="str">
        <f t="shared" si="3"/>
        <v>4</v>
      </c>
      <c r="F39" s="60">
        <v>1.0</v>
      </c>
      <c r="G39" s="61" t="s">
        <v>10</v>
      </c>
      <c r="H39" s="53"/>
      <c r="I39" s="62" t="s">
        <v>29</v>
      </c>
      <c r="J39" s="55"/>
    </row>
    <row r="40" ht="14.25" customHeight="1">
      <c r="A40" s="143">
        <v>38.0</v>
      </c>
      <c r="B40" s="47"/>
      <c r="C40" s="63" t="s">
        <v>30</v>
      </c>
      <c r="D40" s="64">
        <v>2.0</v>
      </c>
      <c r="E40" s="9" t="str">
        <f t="shared" si="3"/>
        <v>2</v>
      </c>
      <c r="F40" s="65">
        <v>1.0</v>
      </c>
      <c r="G40" s="66" t="s">
        <v>10</v>
      </c>
      <c r="H40" s="53"/>
      <c r="I40" s="67" t="s">
        <v>91</v>
      </c>
      <c r="J40" s="55"/>
    </row>
    <row r="41" ht="14.25" customHeight="1">
      <c r="A41" s="143">
        <v>39.0</v>
      </c>
      <c r="B41" s="47"/>
      <c r="C41" s="68" t="s">
        <v>32</v>
      </c>
      <c r="D41" s="69">
        <v>0.0</v>
      </c>
      <c r="E41" s="50" t="str">
        <f t="shared" si="3"/>
        <v>0</v>
      </c>
      <c r="F41" s="70">
        <v>1.0</v>
      </c>
      <c r="G41" s="52" t="s">
        <v>10</v>
      </c>
      <c r="H41" s="53"/>
      <c r="I41" s="71" t="s">
        <v>33</v>
      </c>
      <c r="J41" s="55"/>
    </row>
    <row r="42" ht="14.25" customHeight="1">
      <c r="A42" s="143">
        <v>40.0</v>
      </c>
      <c r="B42" s="47"/>
      <c r="C42" s="68" t="s">
        <v>34</v>
      </c>
      <c r="D42" s="49">
        <v>7.0</v>
      </c>
      <c r="E42" s="50" t="str">
        <f t="shared" si="3"/>
        <v>7</v>
      </c>
      <c r="F42" s="70">
        <v>2.0</v>
      </c>
      <c r="G42" s="52" t="s">
        <v>10</v>
      </c>
      <c r="H42" s="53"/>
      <c r="I42" s="72" t="s">
        <v>35</v>
      </c>
      <c r="J42" s="55"/>
    </row>
    <row r="43" ht="14.25" customHeight="1">
      <c r="A43" s="143">
        <v>41.0</v>
      </c>
      <c r="B43" s="47"/>
      <c r="C43" s="68" t="s">
        <v>36</v>
      </c>
      <c r="D43" s="49">
        <v>16.0</v>
      </c>
      <c r="E43" s="50" t="str">
        <f t="shared" si="3"/>
        <v>10</v>
      </c>
      <c r="F43" s="70">
        <v>1.0</v>
      </c>
      <c r="G43" s="52" t="s">
        <v>10</v>
      </c>
      <c r="H43" s="53"/>
      <c r="I43" s="71" t="s">
        <v>37</v>
      </c>
      <c r="J43" s="55"/>
    </row>
    <row r="44" ht="14.25" customHeight="1">
      <c r="A44" s="143">
        <v>42.0</v>
      </c>
      <c r="B44" s="47"/>
      <c r="C44" s="68" t="s">
        <v>38</v>
      </c>
      <c r="D44" s="49">
        <v>0.0</v>
      </c>
      <c r="E44" s="50" t="str">
        <f t="shared" si="3"/>
        <v>0</v>
      </c>
      <c r="F44" s="70">
        <v>1.0</v>
      </c>
      <c r="G44" s="52" t="s">
        <v>10</v>
      </c>
      <c r="H44" s="53"/>
      <c r="I44" s="72" t="s">
        <v>39</v>
      </c>
      <c r="J44" s="55"/>
    </row>
    <row r="45" ht="14.25" customHeight="1">
      <c r="A45" s="143">
        <v>43.0</v>
      </c>
      <c r="B45" s="73"/>
      <c r="C45" s="74" t="s">
        <v>40</v>
      </c>
      <c r="D45" s="59">
        <v>2.0</v>
      </c>
      <c r="E45" s="25" t="str">
        <f t="shared" si="3"/>
        <v>2</v>
      </c>
      <c r="F45" s="75">
        <v>1.0</v>
      </c>
      <c r="G45" s="76" t="s">
        <v>10</v>
      </c>
      <c r="H45" s="77"/>
      <c r="I45" s="78" t="s">
        <v>41</v>
      </c>
      <c r="J45" s="79"/>
    </row>
    <row r="46" ht="14.25" customHeight="1">
      <c r="A46" s="143">
        <v>44.0</v>
      </c>
      <c r="B46" s="38"/>
      <c r="C46" s="63" t="s">
        <v>30</v>
      </c>
      <c r="D46" s="64">
        <v>2.0</v>
      </c>
      <c r="E46" s="9" t="str">
        <f t="shared" si="3"/>
        <v>2</v>
      </c>
      <c r="F46" s="65">
        <v>1.0</v>
      </c>
      <c r="G46" s="66" t="s">
        <v>10</v>
      </c>
      <c r="H46" s="44"/>
      <c r="I46" s="67" t="s">
        <v>92</v>
      </c>
      <c r="J46" s="46"/>
    </row>
    <row r="47" ht="14.25" customHeight="1">
      <c r="A47" s="143">
        <v>45.0</v>
      </c>
      <c r="B47" s="47"/>
      <c r="C47" s="68" t="s">
        <v>32</v>
      </c>
      <c r="D47" s="69">
        <v>0.0</v>
      </c>
      <c r="E47" s="50" t="str">
        <f t="shared" si="3"/>
        <v>0</v>
      </c>
      <c r="F47" s="70">
        <v>1.0</v>
      </c>
      <c r="G47" s="52" t="s">
        <v>10</v>
      </c>
      <c r="H47" s="53"/>
      <c r="I47" s="71" t="s">
        <v>33</v>
      </c>
      <c r="J47" s="55"/>
    </row>
    <row r="48" ht="14.25" customHeight="1">
      <c r="A48" s="143">
        <v>46.0</v>
      </c>
      <c r="B48" s="47"/>
      <c r="C48" s="68" t="s">
        <v>34</v>
      </c>
      <c r="D48" s="49">
        <v>8.0</v>
      </c>
      <c r="E48" s="50" t="str">
        <f t="shared" si="3"/>
        <v>8</v>
      </c>
      <c r="F48" s="70">
        <v>2.0</v>
      </c>
      <c r="G48" s="52" t="s">
        <v>10</v>
      </c>
      <c r="H48" s="53"/>
      <c r="I48" s="72" t="s">
        <v>35</v>
      </c>
      <c r="J48" s="55"/>
    </row>
    <row r="49" ht="14.25" customHeight="1">
      <c r="A49" s="143">
        <v>47.0</v>
      </c>
      <c r="B49" s="47"/>
      <c r="C49" s="68" t="s">
        <v>36</v>
      </c>
      <c r="D49" s="49">
        <v>16.0</v>
      </c>
      <c r="E49" s="50" t="str">
        <f t="shared" si="3"/>
        <v>10</v>
      </c>
      <c r="F49" s="70">
        <v>1.0</v>
      </c>
      <c r="G49" s="52" t="s">
        <v>10</v>
      </c>
      <c r="H49" s="53"/>
      <c r="I49" s="71" t="s">
        <v>37</v>
      </c>
      <c r="J49" s="55"/>
    </row>
    <row r="50" ht="14.25" customHeight="1">
      <c r="A50" s="143">
        <v>48.0</v>
      </c>
      <c r="B50" s="47"/>
      <c r="C50" s="68" t="s">
        <v>38</v>
      </c>
      <c r="D50" s="49">
        <v>16.0</v>
      </c>
      <c r="E50" s="50" t="str">
        <f t="shared" si="3"/>
        <v>10</v>
      </c>
      <c r="F50" s="70">
        <v>1.0</v>
      </c>
      <c r="G50" s="52" t="s">
        <v>10</v>
      </c>
      <c r="H50" s="53"/>
      <c r="I50" s="72" t="s">
        <v>39</v>
      </c>
      <c r="J50" s="55"/>
    </row>
    <row r="51" ht="14.25" customHeight="1">
      <c r="A51" s="143">
        <v>49.0</v>
      </c>
      <c r="B51" s="73"/>
      <c r="C51" s="74" t="s">
        <v>40</v>
      </c>
      <c r="D51" s="59">
        <v>2.0</v>
      </c>
      <c r="E51" s="25" t="str">
        <f t="shared" si="3"/>
        <v>2</v>
      </c>
      <c r="F51" s="75">
        <v>1.0</v>
      </c>
      <c r="G51" s="76" t="s">
        <v>10</v>
      </c>
      <c r="H51" s="77"/>
      <c r="I51" s="78" t="s">
        <v>41</v>
      </c>
      <c r="J51" s="79"/>
    </row>
    <row r="52" ht="14.25" customHeight="1">
      <c r="A52" s="143">
        <v>50.0</v>
      </c>
      <c r="B52" s="38"/>
      <c r="C52" s="63" t="s">
        <v>30</v>
      </c>
      <c r="D52" s="64">
        <v>2.0</v>
      </c>
      <c r="E52" s="9" t="str">
        <f t="shared" si="3"/>
        <v>2</v>
      </c>
      <c r="F52" s="65">
        <v>1.0</v>
      </c>
      <c r="G52" s="66" t="s">
        <v>10</v>
      </c>
      <c r="H52" s="44"/>
      <c r="I52" s="67" t="s">
        <v>93</v>
      </c>
      <c r="J52" s="46"/>
    </row>
    <row r="53" ht="14.25" customHeight="1">
      <c r="A53" s="143">
        <v>51.0</v>
      </c>
      <c r="B53" s="47"/>
      <c r="C53" s="68" t="s">
        <v>32</v>
      </c>
      <c r="D53" s="69">
        <v>0.0</v>
      </c>
      <c r="E53" s="50" t="str">
        <f t="shared" si="3"/>
        <v>0</v>
      </c>
      <c r="F53" s="70">
        <v>1.0</v>
      </c>
      <c r="G53" s="52" t="s">
        <v>10</v>
      </c>
      <c r="H53" s="53"/>
      <c r="I53" s="71" t="s">
        <v>33</v>
      </c>
      <c r="J53" s="55"/>
    </row>
    <row r="54" ht="14.25" customHeight="1">
      <c r="A54" s="143">
        <v>52.0</v>
      </c>
      <c r="B54" s="47"/>
      <c r="C54" s="68" t="s">
        <v>34</v>
      </c>
      <c r="D54" s="49">
        <v>21.0</v>
      </c>
      <c r="E54" s="50" t="str">
        <f t="shared" si="3"/>
        <v>15</v>
      </c>
      <c r="F54" s="70">
        <v>2.0</v>
      </c>
      <c r="G54" s="52" t="s">
        <v>10</v>
      </c>
      <c r="H54" s="53"/>
      <c r="I54" s="72" t="s">
        <v>35</v>
      </c>
      <c r="J54" s="55"/>
    </row>
    <row r="55" ht="14.25" customHeight="1">
      <c r="A55" s="143">
        <v>53.0</v>
      </c>
      <c r="B55" s="47"/>
      <c r="C55" s="68" t="s">
        <v>36</v>
      </c>
      <c r="D55" s="49">
        <v>16.0</v>
      </c>
      <c r="E55" s="50" t="str">
        <f t="shared" si="3"/>
        <v>10</v>
      </c>
      <c r="F55" s="70">
        <v>1.0</v>
      </c>
      <c r="G55" s="52" t="s">
        <v>10</v>
      </c>
      <c r="H55" s="53"/>
      <c r="I55" s="71" t="s">
        <v>37</v>
      </c>
      <c r="J55" s="55"/>
    </row>
    <row r="56" ht="14.25" customHeight="1">
      <c r="A56" s="143">
        <v>54.0</v>
      </c>
      <c r="B56" s="47"/>
      <c r="C56" s="68" t="s">
        <v>38</v>
      </c>
      <c r="D56" s="49">
        <v>32.0</v>
      </c>
      <c r="E56" s="50" t="str">
        <f t="shared" si="3"/>
        <v>20</v>
      </c>
      <c r="F56" s="70">
        <v>1.0</v>
      </c>
      <c r="G56" s="52" t="s">
        <v>10</v>
      </c>
      <c r="H56" s="53"/>
      <c r="I56" s="72" t="s">
        <v>39</v>
      </c>
      <c r="J56" s="55"/>
    </row>
    <row r="57" ht="14.25" customHeight="1">
      <c r="A57" s="143">
        <v>55.0</v>
      </c>
      <c r="B57" s="73"/>
      <c r="C57" s="74" t="s">
        <v>40</v>
      </c>
      <c r="D57" s="59">
        <v>2.0</v>
      </c>
      <c r="E57" s="25" t="str">
        <f t="shared" si="3"/>
        <v>2</v>
      </c>
      <c r="F57" s="75">
        <v>1.0</v>
      </c>
      <c r="G57" s="76" t="s">
        <v>10</v>
      </c>
      <c r="H57" s="77"/>
      <c r="I57" s="78" t="s">
        <v>41</v>
      </c>
      <c r="J57" s="79"/>
    </row>
    <row r="58" ht="14.25" customHeight="1">
      <c r="A58" s="143">
        <v>56.0</v>
      </c>
      <c r="B58" s="38"/>
      <c r="C58" s="63" t="s">
        <v>30</v>
      </c>
      <c r="D58" s="64">
        <v>2.0</v>
      </c>
      <c r="E58" s="9" t="str">
        <f t="shared" si="3"/>
        <v>2</v>
      </c>
      <c r="F58" s="65">
        <v>1.0</v>
      </c>
      <c r="G58" s="66" t="s">
        <v>10</v>
      </c>
      <c r="H58" s="44"/>
      <c r="I58" s="67" t="s">
        <v>94</v>
      </c>
      <c r="J58" s="46"/>
    </row>
    <row r="59" ht="14.25" customHeight="1">
      <c r="A59" s="143">
        <v>57.0</v>
      </c>
      <c r="B59" s="47"/>
      <c r="C59" s="68" t="s">
        <v>32</v>
      </c>
      <c r="D59" s="69">
        <v>0.0</v>
      </c>
      <c r="E59" s="50" t="str">
        <f t="shared" si="3"/>
        <v>0</v>
      </c>
      <c r="F59" s="70">
        <v>1.0</v>
      </c>
      <c r="G59" s="52" t="s">
        <v>10</v>
      </c>
      <c r="H59" s="53"/>
      <c r="I59" s="71" t="s">
        <v>33</v>
      </c>
      <c r="J59" s="55"/>
    </row>
    <row r="60" ht="14.25" customHeight="1">
      <c r="A60" s="143">
        <v>58.0</v>
      </c>
      <c r="B60" s="47"/>
      <c r="C60" s="68" t="s">
        <v>34</v>
      </c>
      <c r="D60" s="49">
        <v>27.0</v>
      </c>
      <c r="E60" s="50" t="str">
        <f t="shared" si="3"/>
        <v>1B</v>
      </c>
      <c r="F60" s="70">
        <v>2.0</v>
      </c>
      <c r="G60" s="52" t="s">
        <v>10</v>
      </c>
      <c r="H60" s="53"/>
      <c r="I60" s="72" t="s">
        <v>35</v>
      </c>
      <c r="J60" s="55"/>
    </row>
    <row r="61" ht="14.25" customHeight="1">
      <c r="A61" s="143">
        <v>59.0</v>
      </c>
      <c r="B61" s="47"/>
      <c r="C61" s="68" t="s">
        <v>36</v>
      </c>
      <c r="D61" s="49">
        <v>16.0</v>
      </c>
      <c r="E61" s="50" t="str">
        <f t="shared" si="3"/>
        <v>10</v>
      </c>
      <c r="F61" s="70">
        <v>1.0</v>
      </c>
      <c r="G61" s="52" t="s">
        <v>10</v>
      </c>
      <c r="H61" s="53"/>
      <c r="I61" s="71" t="s">
        <v>37</v>
      </c>
      <c r="J61" s="55"/>
    </row>
    <row r="62" ht="14.25" customHeight="1">
      <c r="A62" s="143">
        <v>60.0</v>
      </c>
      <c r="B62" s="47"/>
      <c r="C62" s="68" t="s">
        <v>38</v>
      </c>
      <c r="D62" s="49">
        <v>48.0</v>
      </c>
      <c r="E62" s="50" t="str">
        <f t="shared" si="3"/>
        <v>30</v>
      </c>
      <c r="F62" s="70">
        <v>1.0</v>
      </c>
      <c r="G62" s="52" t="s">
        <v>10</v>
      </c>
      <c r="H62" s="53"/>
      <c r="I62" s="72" t="s">
        <v>39</v>
      </c>
      <c r="J62" s="55"/>
    </row>
    <row r="63" ht="14.25" customHeight="1">
      <c r="A63" s="143">
        <v>61.0</v>
      </c>
      <c r="B63" s="73"/>
      <c r="C63" s="74" t="s">
        <v>40</v>
      </c>
      <c r="D63" s="59">
        <v>2.0</v>
      </c>
      <c r="E63" s="25" t="str">
        <f t="shared" si="3"/>
        <v>2</v>
      </c>
      <c r="F63" s="75">
        <v>1.0</v>
      </c>
      <c r="G63" s="76" t="s">
        <v>10</v>
      </c>
      <c r="H63" s="77"/>
      <c r="I63" s="78" t="s">
        <v>41</v>
      </c>
      <c r="J63" s="79"/>
    </row>
    <row r="64" ht="14.25" customHeight="1">
      <c r="A64" s="143">
        <v>62.0</v>
      </c>
      <c r="B64" s="80"/>
      <c r="C64" s="30" t="s">
        <v>43</v>
      </c>
      <c r="D64" s="31">
        <v>1.0</v>
      </c>
      <c r="E64" s="32" t="str">
        <f t="shared" si="3"/>
        <v>1</v>
      </c>
      <c r="F64" s="32">
        <v>1.0</v>
      </c>
      <c r="G64" s="81"/>
      <c r="H64" s="82"/>
      <c r="I64" s="35" t="s">
        <v>95</v>
      </c>
      <c r="J64" s="34"/>
    </row>
    <row r="65" ht="14.25" customHeight="1">
      <c r="A65" s="143">
        <v>63.0</v>
      </c>
      <c r="B65" s="83"/>
      <c r="C65" s="84" t="s">
        <v>45</v>
      </c>
      <c r="D65" s="85" t="s">
        <v>66</v>
      </c>
      <c r="E65" s="41">
        <v>185.0</v>
      </c>
      <c r="F65" s="86">
        <v>2.0</v>
      </c>
      <c r="G65" s="87" t="s">
        <v>10</v>
      </c>
      <c r="H65" s="88"/>
      <c r="I65" s="89" t="s">
        <v>96</v>
      </c>
      <c r="J65" s="90"/>
    </row>
    <row r="66" ht="14.25" customHeight="1">
      <c r="A66" s="143">
        <v>64.0</v>
      </c>
      <c r="B66" s="91"/>
      <c r="C66" s="92" t="s">
        <v>47</v>
      </c>
      <c r="D66" s="49">
        <v>50.0</v>
      </c>
      <c r="E66" s="50" t="str">
        <f t="shared" ref="E66:E96" si="4"> DEC2HEX(D66)</f>
        <v>32</v>
      </c>
      <c r="F66" s="93">
        <v>2.0</v>
      </c>
      <c r="G66" s="94" t="s">
        <v>10</v>
      </c>
      <c r="H66" s="95"/>
      <c r="I66" s="96" t="s">
        <v>48</v>
      </c>
      <c r="J66" s="97"/>
    </row>
    <row r="67" ht="14.25" customHeight="1">
      <c r="A67" s="143">
        <v>65.0</v>
      </c>
      <c r="B67" s="91"/>
      <c r="C67" s="92" t="s">
        <v>24</v>
      </c>
      <c r="D67" s="49">
        <v>8.0</v>
      </c>
      <c r="E67" s="50" t="str">
        <f t="shared" si="4"/>
        <v>8</v>
      </c>
      <c r="F67" s="93">
        <v>1.0</v>
      </c>
      <c r="G67" s="94" t="s">
        <v>10</v>
      </c>
      <c r="H67" s="95"/>
      <c r="I67" s="96" t="s">
        <v>25</v>
      </c>
      <c r="J67" s="97"/>
    </row>
    <row r="68" ht="14.25" customHeight="1">
      <c r="A68" s="143">
        <v>66.0</v>
      </c>
      <c r="B68" s="98"/>
      <c r="C68" s="92" t="s">
        <v>49</v>
      </c>
      <c r="D68" s="69">
        <v>0.0</v>
      </c>
      <c r="E68" s="50" t="str">
        <f t="shared" si="4"/>
        <v>0</v>
      </c>
      <c r="F68" s="93">
        <v>1.0</v>
      </c>
      <c r="G68" s="94" t="s">
        <v>10</v>
      </c>
      <c r="H68" s="95"/>
      <c r="I68" s="96" t="s">
        <v>33</v>
      </c>
      <c r="J68" s="97"/>
    </row>
    <row r="69" ht="14.25" customHeight="1">
      <c r="A69" s="143">
        <v>67.0</v>
      </c>
      <c r="B69" s="99"/>
      <c r="C69" s="100" t="s">
        <v>50</v>
      </c>
      <c r="D69" s="59">
        <v>4.0</v>
      </c>
      <c r="E69" s="25" t="str">
        <f t="shared" si="4"/>
        <v>4</v>
      </c>
      <c r="F69" s="101">
        <v>1.0</v>
      </c>
      <c r="G69" s="102" t="s">
        <v>10</v>
      </c>
      <c r="H69" s="103"/>
      <c r="I69" s="104" t="s">
        <v>51</v>
      </c>
      <c r="J69" s="105"/>
    </row>
    <row r="70" ht="14.25" customHeight="1">
      <c r="A70" s="143">
        <v>68.0</v>
      </c>
      <c r="B70" s="106"/>
      <c r="C70" s="107" t="s">
        <v>30</v>
      </c>
      <c r="D70" s="64">
        <v>2.0</v>
      </c>
      <c r="E70" s="9" t="str">
        <f t="shared" si="4"/>
        <v>2</v>
      </c>
      <c r="F70" s="108">
        <v>1.0</v>
      </c>
      <c r="G70" s="109" t="s">
        <v>10</v>
      </c>
      <c r="H70" s="88"/>
      <c r="I70" s="110" t="s">
        <v>97</v>
      </c>
      <c r="J70" s="90"/>
    </row>
    <row r="71" ht="14.25" customHeight="1">
      <c r="A71" s="143">
        <v>69.0</v>
      </c>
      <c r="B71" s="98"/>
      <c r="C71" s="111" t="s">
        <v>32</v>
      </c>
      <c r="D71" s="69">
        <v>0.0</v>
      </c>
      <c r="E71" s="50" t="str">
        <f t="shared" si="4"/>
        <v>0</v>
      </c>
      <c r="F71" s="112">
        <v>1.0</v>
      </c>
      <c r="G71" s="113" t="s">
        <v>10</v>
      </c>
      <c r="H71" s="95"/>
      <c r="I71" s="114" t="s">
        <v>33</v>
      </c>
      <c r="J71" s="97"/>
    </row>
    <row r="72" ht="14.25" customHeight="1">
      <c r="A72" s="143">
        <v>70.0</v>
      </c>
      <c r="B72" s="98"/>
      <c r="C72" s="111" t="s">
        <v>34</v>
      </c>
      <c r="D72" s="49">
        <v>4.0</v>
      </c>
      <c r="E72" s="50" t="str">
        <f t="shared" si="4"/>
        <v>4</v>
      </c>
      <c r="F72" s="112">
        <v>2.0</v>
      </c>
      <c r="G72" s="113" t="s">
        <v>10</v>
      </c>
      <c r="H72" s="95"/>
      <c r="I72" s="114" t="s">
        <v>35</v>
      </c>
      <c r="J72" s="97"/>
    </row>
    <row r="73" ht="14.25" customHeight="1">
      <c r="A73" s="143">
        <v>71.0</v>
      </c>
      <c r="B73" s="98"/>
      <c r="C73" s="111" t="s">
        <v>36</v>
      </c>
      <c r="D73" s="49">
        <v>16.0</v>
      </c>
      <c r="E73" s="50" t="str">
        <f t="shared" si="4"/>
        <v>10</v>
      </c>
      <c r="F73" s="112">
        <v>1.0</v>
      </c>
      <c r="G73" s="113" t="s">
        <v>10</v>
      </c>
      <c r="H73" s="95"/>
      <c r="I73" s="114" t="s">
        <v>37</v>
      </c>
      <c r="J73" s="97"/>
    </row>
    <row r="74" ht="14.25" customHeight="1">
      <c r="A74" s="143">
        <v>72.0</v>
      </c>
      <c r="B74" s="98"/>
      <c r="C74" s="111" t="s">
        <v>38</v>
      </c>
      <c r="D74" s="49">
        <v>0.0</v>
      </c>
      <c r="E74" s="50" t="str">
        <f t="shared" si="4"/>
        <v>0</v>
      </c>
      <c r="F74" s="112">
        <v>1.0</v>
      </c>
      <c r="G74" s="113" t="s">
        <v>10</v>
      </c>
      <c r="H74" s="95"/>
      <c r="I74" s="114" t="s">
        <v>39</v>
      </c>
      <c r="J74" s="97"/>
    </row>
    <row r="75" ht="14.25" customHeight="1">
      <c r="A75" s="143">
        <v>73.0</v>
      </c>
      <c r="B75" s="99"/>
      <c r="C75" s="115" t="s">
        <v>53</v>
      </c>
      <c r="D75" s="59">
        <v>0.0</v>
      </c>
      <c r="E75" s="25" t="str">
        <f t="shared" si="4"/>
        <v>0</v>
      </c>
      <c r="F75" s="116">
        <v>1.0</v>
      </c>
      <c r="G75" s="117" t="s">
        <v>10</v>
      </c>
      <c r="H75" s="103"/>
      <c r="I75" s="118" t="s">
        <v>54</v>
      </c>
      <c r="J75" s="105"/>
    </row>
    <row r="76" ht="14.25" customHeight="1">
      <c r="A76" s="143">
        <v>74.0</v>
      </c>
      <c r="B76" s="106"/>
      <c r="C76" s="107" t="s">
        <v>30</v>
      </c>
      <c r="D76" s="64">
        <v>2.0</v>
      </c>
      <c r="E76" s="9" t="str">
        <f t="shared" si="4"/>
        <v>2</v>
      </c>
      <c r="F76" s="108">
        <v>1.0</v>
      </c>
      <c r="G76" s="109" t="s">
        <v>10</v>
      </c>
      <c r="H76" s="88"/>
      <c r="I76" s="110" t="s">
        <v>98</v>
      </c>
      <c r="J76" s="90"/>
    </row>
    <row r="77" ht="14.25" customHeight="1">
      <c r="A77" s="143">
        <v>75.0</v>
      </c>
      <c r="B77" s="98"/>
      <c r="C77" s="111" t="s">
        <v>32</v>
      </c>
      <c r="D77" s="69">
        <v>0.0</v>
      </c>
      <c r="E77" s="50" t="str">
        <f t="shared" si="4"/>
        <v>0</v>
      </c>
      <c r="F77" s="112">
        <v>1.0</v>
      </c>
      <c r="G77" s="113" t="s">
        <v>10</v>
      </c>
      <c r="H77" s="95"/>
      <c r="I77" s="114" t="s">
        <v>33</v>
      </c>
      <c r="J77" s="97"/>
    </row>
    <row r="78" ht="14.25" customHeight="1">
      <c r="A78" s="143">
        <v>76.0</v>
      </c>
      <c r="B78" s="98"/>
      <c r="C78" s="111" t="s">
        <v>34</v>
      </c>
      <c r="D78" s="49">
        <v>17.0</v>
      </c>
      <c r="E78" s="50" t="str">
        <f t="shared" si="4"/>
        <v>11</v>
      </c>
      <c r="F78" s="112">
        <v>2.0</v>
      </c>
      <c r="G78" s="113" t="s">
        <v>10</v>
      </c>
      <c r="H78" s="95"/>
      <c r="I78" s="114" t="s">
        <v>35</v>
      </c>
      <c r="J78" s="97"/>
    </row>
    <row r="79" ht="14.25" customHeight="1">
      <c r="A79" s="143">
        <v>77.0</v>
      </c>
      <c r="B79" s="98"/>
      <c r="C79" s="111" t="s">
        <v>36</v>
      </c>
      <c r="D79" s="49">
        <v>16.0</v>
      </c>
      <c r="E79" s="50" t="str">
        <f t="shared" si="4"/>
        <v>10</v>
      </c>
      <c r="F79" s="112">
        <v>1.0</v>
      </c>
      <c r="G79" s="113" t="s">
        <v>10</v>
      </c>
      <c r="H79" s="95"/>
      <c r="I79" s="114" t="s">
        <v>37</v>
      </c>
      <c r="J79" s="97"/>
    </row>
    <row r="80" ht="14.25" customHeight="1">
      <c r="A80" s="143">
        <v>78.0</v>
      </c>
      <c r="B80" s="98"/>
      <c r="C80" s="111" t="s">
        <v>38</v>
      </c>
      <c r="D80" s="49">
        <v>16.0</v>
      </c>
      <c r="E80" s="50" t="str">
        <f t="shared" si="4"/>
        <v>10</v>
      </c>
      <c r="F80" s="112">
        <v>1.0</v>
      </c>
      <c r="G80" s="113" t="s">
        <v>10</v>
      </c>
      <c r="H80" s="95"/>
      <c r="I80" s="114" t="s">
        <v>39</v>
      </c>
      <c r="J80" s="97"/>
    </row>
    <row r="81" ht="14.25" customHeight="1">
      <c r="A81" s="143">
        <v>79.0</v>
      </c>
      <c r="B81" s="99"/>
      <c r="C81" s="115" t="s">
        <v>53</v>
      </c>
      <c r="D81" s="59">
        <v>0.0</v>
      </c>
      <c r="E81" s="25" t="str">
        <f t="shared" si="4"/>
        <v>0</v>
      </c>
      <c r="F81" s="116">
        <v>1.0</v>
      </c>
      <c r="G81" s="117" t="s">
        <v>10</v>
      </c>
      <c r="H81" s="103"/>
      <c r="I81" s="118" t="s">
        <v>54</v>
      </c>
      <c r="J81" s="105"/>
    </row>
    <row r="82" ht="14.25" customHeight="1">
      <c r="A82" s="143">
        <v>80.0</v>
      </c>
      <c r="B82" s="106"/>
      <c r="C82" s="107" t="s">
        <v>30</v>
      </c>
      <c r="D82" s="64">
        <v>2.0</v>
      </c>
      <c r="E82" s="9" t="str">
        <f t="shared" si="4"/>
        <v>2</v>
      </c>
      <c r="F82" s="108">
        <v>1.0</v>
      </c>
      <c r="G82" s="109" t="s">
        <v>10</v>
      </c>
      <c r="H82" s="88"/>
      <c r="I82" s="110" t="s">
        <v>99</v>
      </c>
      <c r="J82" s="90"/>
    </row>
    <row r="83" ht="14.25" customHeight="1">
      <c r="A83" s="143">
        <v>81.0</v>
      </c>
      <c r="B83" s="98"/>
      <c r="C83" s="111" t="s">
        <v>32</v>
      </c>
      <c r="D83" s="69">
        <v>0.0</v>
      </c>
      <c r="E83" s="50" t="str">
        <f t="shared" si="4"/>
        <v>0</v>
      </c>
      <c r="F83" s="112">
        <v>1.0</v>
      </c>
      <c r="G83" s="113" t="s">
        <v>10</v>
      </c>
      <c r="H83" s="95"/>
      <c r="I83" s="114" t="s">
        <v>33</v>
      </c>
      <c r="J83" s="97"/>
    </row>
    <row r="84" ht="14.25" customHeight="1">
      <c r="A84" s="143">
        <v>82.0</v>
      </c>
      <c r="B84" s="98"/>
      <c r="C84" s="111" t="s">
        <v>34</v>
      </c>
      <c r="D84" s="49">
        <v>13.0</v>
      </c>
      <c r="E84" s="50" t="str">
        <f t="shared" si="4"/>
        <v>D</v>
      </c>
      <c r="F84" s="112">
        <v>2.0</v>
      </c>
      <c r="G84" s="113" t="s">
        <v>10</v>
      </c>
      <c r="H84" s="95"/>
      <c r="I84" s="114" t="s">
        <v>35</v>
      </c>
      <c r="J84" s="97"/>
    </row>
    <row r="85" ht="14.25" customHeight="1">
      <c r="A85" s="143">
        <v>83.0</v>
      </c>
      <c r="B85" s="98"/>
      <c r="C85" s="111" t="s">
        <v>36</v>
      </c>
      <c r="D85" s="49">
        <v>16.0</v>
      </c>
      <c r="E85" s="50" t="str">
        <f t="shared" si="4"/>
        <v>10</v>
      </c>
      <c r="F85" s="112">
        <v>1.0</v>
      </c>
      <c r="G85" s="113" t="s">
        <v>10</v>
      </c>
      <c r="H85" s="95"/>
      <c r="I85" s="114" t="s">
        <v>37</v>
      </c>
      <c r="J85" s="97"/>
    </row>
    <row r="86" ht="14.25" customHeight="1">
      <c r="A86" s="143">
        <v>84.0</v>
      </c>
      <c r="B86" s="98"/>
      <c r="C86" s="111" t="s">
        <v>38</v>
      </c>
      <c r="D86" s="49">
        <v>32.0</v>
      </c>
      <c r="E86" s="50" t="str">
        <f t="shared" si="4"/>
        <v>20</v>
      </c>
      <c r="F86" s="112">
        <v>1.0</v>
      </c>
      <c r="G86" s="113" t="s">
        <v>10</v>
      </c>
      <c r="H86" s="95"/>
      <c r="I86" s="114" t="s">
        <v>39</v>
      </c>
      <c r="J86" s="97"/>
    </row>
    <row r="87" ht="14.25" customHeight="1">
      <c r="A87" s="143">
        <v>85.0</v>
      </c>
      <c r="B87" s="99"/>
      <c r="C87" s="115" t="s">
        <v>53</v>
      </c>
      <c r="D87" s="59">
        <v>0.0</v>
      </c>
      <c r="E87" s="25" t="str">
        <f t="shared" si="4"/>
        <v>0</v>
      </c>
      <c r="F87" s="116">
        <v>1.0</v>
      </c>
      <c r="G87" s="117" t="s">
        <v>10</v>
      </c>
      <c r="H87" s="103"/>
      <c r="I87" s="118" t="s">
        <v>54</v>
      </c>
      <c r="J87" s="105"/>
    </row>
    <row r="88" ht="14.25" customHeight="1">
      <c r="A88" s="143">
        <v>86.0</v>
      </c>
      <c r="B88" s="106"/>
      <c r="C88" s="107" t="s">
        <v>30</v>
      </c>
      <c r="D88" s="64">
        <v>2.0</v>
      </c>
      <c r="E88" s="9" t="str">
        <f t="shared" si="4"/>
        <v>2</v>
      </c>
      <c r="F88" s="108">
        <v>1.0</v>
      </c>
      <c r="G88" s="109" t="s">
        <v>10</v>
      </c>
      <c r="H88" s="88"/>
      <c r="I88" s="110" t="s">
        <v>100</v>
      </c>
      <c r="J88" s="90"/>
    </row>
    <row r="89" ht="14.25" customHeight="1">
      <c r="A89" s="143">
        <v>87.0</v>
      </c>
      <c r="B89" s="98"/>
      <c r="C89" s="111" t="s">
        <v>32</v>
      </c>
      <c r="D89" s="69">
        <v>0.0</v>
      </c>
      <c r="E89" s="50" t="str">
        <f t="shared" si="4"/>
        <v>0</v>
      </c>
      <c r="F89" s="112">
        <v>1.0</v>
      </c>
      <c r="G89" s="113" t="s">
        <v>10</v>
      </c>
      <c r="H89" s="95"/>
      <c r="I89" s="114" t="s">
        <v>33</v>
      </c>
      <c r="J89" s="97"/>
    </row>
    <row r="90" ht="14.25" customHeight="1">
      <c r="A90" s="143">
        <v>88.0</v>
      </c>
      <c r="B90" s="98"/>
      <c r="C90" s="111" t="s">
        <v>34</v>
      </c>
      <c r="D90" s="49">
        <v>14.0</v>
      </c>
      <c r="E90" s="50" t="str">
        <f t="shared" si="4"/>
        <v>E</v>
      </c>
      <c r="F90" s="112">
        <v>2.0</v>
      </c>
      <c r="G90" s="113" t="s">
        <v>10</v>
      </c>
      <c r="H90" s="95"/>
      <c r="I90" s="114" t="s">
        <v>35</v>
      </c>
      <c r="J90" s="97"/>
    </row>
    <row r="91" ht="14.25" customHeight="1">
      <c r="A91" s="143">
        <v>89.0</v>
      </c>
      <c r="B91" s="98"/>
      <c r="C91" s="111" t="s">
        <v>36</v>
      </c>
      <c r="D91" s="49">
        <v>16.0</v>
      </c>
      <c r="E91" s="50" t="str">
        <f t="shared" si="4"/>
        <v>10</v>
      </c>
      <c r="F91" s="112">
        <v>1.0</v>
      </c>
      <c r="G91" s="113" t="s">
        <v>10</v>
      </c>
      <c r="H91" s="95"/>
      <c r="I91" s="114" t="s">
        <v>37</v>
      </c>
      <c r="J91" s="97"/>
    </row>
    <row r="92" ht="14.25" customHeight="1">
      <c r="A92" s="143">
        <v>90.0</v>
      </c>
      <c r="B92" s="98"/>
      <c r="C92" s="111" t="s">
        <v>38</v>
      </c>
      <c r="D92" s="49">
        <v>48.0</v>
      </c>
      <c r="E92" s="50" t="str">
        <f t="shared" si="4"/>
        <v>30</v>
      </c>
      <c r="F92" s="112">
        <v>1.0</v>
      </c>
      <c r="G92" s="113" t="s">
        <v>10</v>
      </c>
      <c r="H92" s="95"/>
      <c r="I92" s="114" t="s">
        <v>39</v>
      </c>
      <c r="J92" s="97"/>
    </row>
    <row r="93" ht="14.25" customHeight="1">
      <c r="A93" s="143">
        <v>91.0</v>
      </c>
      <c r="B93" s="99"/>
      <c r="C93" s="115" t="s">
        <v>53</v>
      </c>
      <c r="D93" s="59">
        <v>0.0</v>
      </c>
      <c r="E93" s="25" t="str">
        <f t="shared" si="4"/>
        <v>0</v>
      </c>
      <c r="F93" s="116">
        <v>1.0</v>
      </c>
      <c r="G93" s="117" t="s">
        <v>10</v>
      </c>
      <c r="H93" s="103"/>
      <c r="I93" s="118" t="s">
        <v>54</v>
      </c>
      <c r="J93" s="105"/>
    </row>
    <row r="94" ht="14.25" customHeight="1">
      <c r="A94" s="143">
        <v>92.0</v>
      </c>
      <c r="B94" s="119"/>
      <c r="C94" s="120" t="s">
        <v>56</v>
      </c>
      <c r="D94" s="64">
        <v>500.0</v>
      </c>
      <c r="E94" s="121" t="str">
        <f t="shared" si="4"/>
        <v>1F4</v>
      </c>
      <c r="F94" s="122">
        <v>2.0</v>
      </c>
      <c r="G94" s="10" t="s">
        <v>10</v>
      </c>
      <c r="H94" s="123"/>
      <c r="I94" s="120" t="s">
        <v>57</v>
      </c>
      <c r="J94" s="13"/>
    </row>
    <row r="95" ht="14.25" customHeight="1">
      <c r="A95" s="143">
        <v>93.0</v>
      </c>
      <c r="B95" s="124"/>
      <c r="C95" s="125" t="s">
        <v>58</v>
      </c>
      <c r="D95" s="126">
        <v>0.0</v>
      </c>
      <c r="E95" s="127" t="str">
        <f t="shared" si="4"/>
        <v>0</v>
      </c>
      <c r="F95" s="127">
        <v>1.0</v>
      </c>
      <c r="G95" s="33" t="s">
        <v>10</v>
      </c>
      <c r="H95" s="128"/>
      <c r="I95" s="129" t="s">
        <v>59</v>
      </c>
      <c r="J95" s="26"/>
    </row>
    <row r="96" ht="14.25" customHeight="1">
      <c r="A96" s="143">
        <v>94.0</v>
      </c>
      <c r="B96" s="131"/>
      <c r="C96" s="132" t="s">
        <v>60</v>
      </c>
      <c r="D96" s="133">
        <v>0.0</v>
      </c>
      <c r="E96" s="134" t="str">
        <f t="shared" si="4"/>
        <v>0</v>
      </c>
      <c r="F96" s="135">
        <v>1.0</v>
      </c>
      <c r="G96" s="33" t="s">
        <v>10</v>
      </c>
      <c r="H96" s="82"/>
      <c r="I96" s="136" t="s">
        <v>61</v>
      </c>
      <c r="J96" s="34"/>
    </row>
    <row r="97" ht="14.25" customHeight="1">
      <c r="B97" s="130"/>
      <c r="C97" s="130"/>
      <c r="D97" s="130"/>
      <c r="E97" s="130"/>
      <c r="F97" s="130"/>
      <c r="G97" s="130"/>
      <c r="H97" s="130"/>
      <c r="I97" s="130"/>
      <c r="J97" s="130"/>
    </row>
    <row r="98" ht="14.25" customHeight="1"/>
    <row r="99" ht="14.25" customHeight="1"/>
    <row r="100" ht="14.25" customHeight="1"/>
    <row r="101" ht="14.25" customHeight="1">
      <c r="C101" s="137" t="s">
        <v>62</v>
      </c>
      <c r="D101" s="138"/>
      <c r="E101" s="138"/>
      <c r="F101" s="139">
        <f>SUM(F4:F100)</f>
        <v>112</v>
      </c>
    </row>
    <row r="102" ht="14.25" customHeight="1">
      <c r="C102" s="22" t="s">
        <v>63</v>
      </c>
      <c r="D102" s="140"/>
      <c r="E102" s="140"/>
      <c r="F102" s="141">
        <f> F101/2</f>
        <v>56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>
      <c r="E123" s="37"/>
    </row>
    <row r="124" ht="14.25" customHeight="1">
      <c r="E124" s="37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.71"/>
    <col customWidth="1" min="3" max="3" width="30.71"/>
    <col customWidth="1" min="4" max="5" width="6.57"/>
    <col customWidth="1" min="6" max="6" width="8.14"/>
    <col customWidth="1" min="7" max="7" width="6.0"/>
    <col customWidth="1" min="8" max="8" width="3.71"/>
    <col customWidth="1" min="9" max="9" width="109.0"/>
    <col customWidth="1" min="10" max="10" width="4.43"/>
    <col customWidth="1" min="11" max="26" width="9.14"/>
  </cols>
  <sheetData>
    <row r="1" ht="14.25" customHeight="1">
      <c r="A1" s="1" t="s">
        <v>0</v>
      </c>
      <c r="B1" s="2"/>
      <c r="C1" s="14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/>
      <c r="I1" s="2" t="s">
        <v>6</v>
      </c>
      <c r="J1" s="3"/>
    </row>
    <row r="2" ht="14.25" customHeight="1">
      <c r="A2" s="143" t="s">
        <v>7</v>
      </c>
      <c r="B2" s="5"/>
      <c r="C2" s="6" t="s">
        <v>8</v>
      </c>
      <c r="D2" s="7">
        <v>56.0</v>
      </c>
      <c r="E2" s="8"/>
      <c r="F2" s="9" t="s">
        <v>9</v>
      </c>
      <c r="G2" s="10" t="s">
        <v>10</v>
      </c>
      <c r="H2" s="11"/>
      <c r="I2" s="12" t="s">
        <v>11</v>
      </c>
      <c r="J2" s="13"/>
    </row>
    <row r="3" ht="14.25" customHeight="1">
      <c r="A3" s="143">
        <v>1.0</v>
      </c>
      <c r="B3" s="15"/>
      <c r="C3" s="16" t="s">
        <v>12</v>
      </c>
      <c r="D3" s="17" t="s">
        <v>13</v>
      </c>
      <c r="E3" s="18"/>
      <c r="F3" s="18"/>
      <c r="G3" s="18"/>
      <c r="H3" s="19"/>
      <c r="I3" s="20" t="s">
        <v>14</v>
      </c>
      <c r="J3" s="21"/>
    </row>
    <row r="4" ht="14.25" customHeight="1">
      <c r="A4" s="143">
        <v>2.0</v>
      </c>
      <c r="B4" s="22"/>
      <c r="C4" s="23" t="s">
        <v>15</v>
      </c>
      <c r="D4" s="24">
        <v>1.0</v>
      </c>
      <c r="E4" s="25" t="str">
        <f t="shared" ref="E4:E5" si="1"> DEC2HEX(D4)</f>
        <v>1</v>
      </c>
      <c r="F4" s="25">
        <v>1.0</v>
      </c>
      <c r="G4" s="10" t="s">
        <v>10</v>
      </c>
      <c r="H4" s="26"/>
      <c r="I4" s="27" t="s">
        <v>101</v>
      </c>
      <c r="J4" s="28"/>
    </row>
    <row r="5" ht="14.25" customHeight="1">
      <c r="A5" s="143">
        <v>3.0</v>
      </c>
      <c r="B5" s="29"/>
      <c r="C5" s="30" t="s">
        <v>17</v>
      </c>
      <c r="D5" s="31">
        <v>2.0</v>
      </c>
      <c r="E5" s="25" t="str">
        <f t="shared" si="1"/>
        <v>2</v>
      </c>
      <c r="F5" s="32">
        <v>1.0</v>
      </c>
      <c r="G5" s="33" t="s">
        <v>10</v>
      </c>
      <c r="H5" s="34"/>
      <c r="I5" s="35" t="s">
        <v>102</v>
      </c>
      <c r="J5" s="34"/>
    </row>
    <row r="6" ht="14.25" customHeight="1">
      <c r="A6" s="143">
        <v>4.0</v>
      </c>
      <c r="B6" s="38"/>
      <c r="C6" s="39" t="s">
        <v>19</v>
      </c>
      <c r="D6" s="40" t="s">
        <v>66</v>
      </c>
      <c r="E6" s="41">
        <v>287.0</v>
      </c>
      <c r="F6" s="42">
        <v>2.0</v>
      </c>
      <c r="G6" s="43" t="s">
        <v>10</v>
      </c>
      <c r="H6" s="44"/>
      <c r="I6" s="45" t="s">
        <v>103</v>
      </c>
      <c r="J6" s="46"/>
    </row>
    <row r="7" ht="14.25" customHeight="1">
      <c r="A7" s="143">
        <v>5.0</v>
      </c>
      <c r="B7" s="47"/>
      <c r="C7" s="48" t="s">
        <v>22</v>
      </c>
      <c r="D7" s="49">
        <v>5.0</v>
      </c>
      <c r="E7" s="50" t="str">
        <f t="shared" ref="E7:E34" si="2"> DEC2HEX(D7)</f>
        <v>5</v>
      </c>
      <c r="F7" s="51">
        <v>2.0</v>
      </c>
      <c r="G7" s="52" t="s">
        <v>10</v>
      </c>
      <c r="H7" s="53"/>
      <c r="I7" s="54" t="s">
        <v>23</v>
      </c>
      <c r="J7" s="55"/>
    </row>
    <row r="8" ht="14.25" customHeight="1">
      <c r="A8" s="143">
        <v>6.0</v>
      </c>
      <c r="B8" s="47"/>
      <c r="C8" s="48" t="s">
        <v>24</v>
      </c>
      <c r="D8" s="49">
        <v>8.0</v>
      </c>
      <c r="E8" s="50" t="str">
        <f t="shared" si="2"/>
        <v>8</v>
      </c>
      <c r="F8" s="51">
        <v>1.0</v>
      </c>
      <c r="G8" s="52" t="s">
        <v>10</v>
      </c>
      <c r="H8" s="53"/>
      <c r="I8" s="54" t="s">
        <v>25</v>
      </c>
      <c r="J8" s="55"/>
    </row>
    <row r="9" ht="14.25" customHeight="1">
      <c r="A9" s="143">
        <v>7.0</v>
      </c>
      <c r="B9" s="47"/>
      <c r="C9" s="56" t="s">
        <v>26</v>
      </c>
      <c r="D9" s="49">
        <v>0.0</v>
      </c>
      <c r="E9" s="50" t="str">
        <f t="shared" si="2"/>
        <v>0</v>
      </c>
      <c r="F9" s="51">
        <v>1.0</v>
      </c>
      <c r="G9" s="52" t="s">
        <v>10</v>
      </c>
      <c r="H9" s="53"/>
      <c r="I9" s="57" t="s">
        <v>27</v>
      </c>
      <c r="J9" s="55"/>
    </row>
    <row r="10" ht="14.25" customHeight="1">
      <c r="A10" s="143">
        <v>8.0</v>
      </c>
      <c r="B10" s="47"/>
      <c r="C10" s="58" t="s">
        <v>28</v>
      </c>
      <c r="D10" s="59">
        <v>4.0</v>
      </c>
      <c r="E10" s="25" t="str">
        <f t="shared" si="2"/>
        <v>4</v>
      </c>
      <c r="F10" s="60">
        <v>1.0</v>
      </c>
      <c r="G10" s="61" t="s">
        <v>10</v>
      </c>
      <c r="H10" s="53"/>
      <c r="I10" s="62" t="s">
        <v>29</v>
      </c>
      <c r="J10" s="55"/>
    </row>
    <row r="11" ht="14.25" customHeight="1">
      <c r="A11" s="143">
        <v>9.0</v>
      </c>
      <c r="B11" s="47"/>
      <c r="C11" s="63" t="s">
        <v>30</v>
      </c>
      <c r="D11" s="64">
        <v>2.0</v>
      </c>
      <c r="E11" s="9" t="str">
        <f t="shared" si="2"/>
        <v>2</v>
      </c>
      <c r="F11" s="65">
        <v>1.0</v>
      </c>
      <c r="G11" s="66" t="s">
        <v>10</v>
      </c>
      <c r="H11" s="53"/>
      <c r="I11" s="67" t="s">
        <v>104</v>
      </c>
      <c r="J11" s="55"/>
    </row>
    <row r="12" ht="14.25" customHeight="1">
      <c r="A12" s="143">
        <v>10.0</v>
      </c>
      <c r="B12" s="47"/>
      <c r="C12" s="68" t="s">
        <v>32</v>
      </c>
      <c r="D12" s="69">
        <v>0.0</v>
      </c>
      <c r="E12" s="50" t="str">
        <f t="shared" si="2"/>
        <v>0</v>
      </c>
      <c r="F12" s="70">
        <v>1.0</v>
      </c>
      <c r="G12" s="52" t="s">
        <v>10</v>
      </c>
      <c r="H12" s="53"/>
      <c r="I12" s="71" t="s">
        <v>33</v>
      </c>
      <c r="J12" s="55"/>
    </row>
    <row r="13" ht="14.25" customHeight="1">
      <c r="A13" s="143">
        <v>11.0</v>
      </c>
      <c r="B13" s="47"/>
      <c r="C13" s="68" t="s">
        <v>34</v>
      </c>
      <c r="D13" s="49">
        <v>3.0</v>
      </c>
      <c r="E13" s="50" t="str">
        <f t="shared" si="2"/>
        <v>3</v>
      </c>
      <c r="F13" s="70">
        <v>2.0</v>
      </c>
      <c r="G13" s="52" t="s">
        <v>10</v>
      </c>
      <c r="H13" s="53"/>
      <c r="I13" s="72" t="s">
        <v>35</v>
      </c>
      <c r="J13" s="55"/>
    </row>
    <row r="14" ht="14.25" customHeight="1">
      <c r="A14" s="143">
        <v>12.0</v>
      </c>
      <c r="B14" s="47"/>
      <c r="C14" s="68" t="s">
        <v>36</v>
      </c>
      <c r="D14" s="49">
        <v>16.0</v>
      </c>
      <c r="E14" s="50" t="str">
        <f t="shared" si="2"/>
        <v>10</v>
      </c>
      <c r="F14" s="70">
        <v>1.0</v>
      </c>
      <c r="G14" s="52" t="s">
        <v>10</v>
      </c>
      <c r="H14" s="53"/>
      <c r="I14" s="71" t="s">
        <v>37</v>
      </c>
      <c r="J14" s="55"/>
    </row>
    <row r="15" ht="14.25" customHeight="1">
      <c r="A15" s="143">
        <v>13.0</v>
      </c>
      <c r="B15" s="47"/>
      <c r="C15" s="68" t="s">
        <v>38</v>
      </c>
      <c r="D15" s="49">
        <v>0.0</v>
      </c>
      <c r="E15" s="50" t="str">
        <f t="shared" si="2"/>
        <v>0</v>
      </c>
      <c r="F15" s="70">
        <v>1.0</v>
      </c>
      <c r="G15" s="52" t="s">
        <v>10</v>
      </c>
      <c r="H15" s="53"/>
      <c r="I15" s="72" t="s">
        <v>39</v>
      </c>
      <c r="J15" s="55"/>
    </row>
    <row r="16" ht="14.25" customHeight="1">
      <c r="A16" s="143">
        <v>14.0</v>
      </c>
      <c r="B16" s="73"/>
      <c r="C16" s="74" t="s">
        <v>40</v>
      </c>
      <c r="D16" s="59">
        <v>0.0</v>
      </c>
      <c r="E16" s="25" t="str">
        <f t="shared" si="2"/>
        <v>0</v>
      </c>
      <c r="F16" s="75">
        <v>1.0</v>
      </c>
      <c r="G16" s="76" t="s">
        <v>10</v>
      </c>
      <c r="H16" s="77"/>
      <c r="I16" s="78" t="s">
        <v>41</v>
      </c>
      <c r="J16" s="79"/>
    </row>
    <row r="17" ht="14.25" customHeight="1">
      <c r="A17" s="143">
        <v>15.0</v>
      </c>
      <c r="B17" s="38"/>
      <c r="C17" s="63" t="s">
        <v>30</v>
      </c>
      <c r="D17" s="64">
        <v>2.0</v>
      </c>
      <c r="E17" s="9" t="str">
        <f t="shared" si="2"/>
        <v>2</v>
      </c>
      <c r="F17" s="65">
        <v>1.0</v>
      </c>
      <c r="G17" s="66" t="s">
        <v>10</v>
      </c>
      <c r="H17" s="44"/>
      <c r="I17" s="67" t="s">
        <v>105</v>
      </c>
      <c r="J17" s="46"/>
    </row>
    <row r="18" ht="14.25" customHeight="1">
      <c r="A18" s="143">
        <v>16.0</v>
      </c>
      <c r="B18" s="47"/>
      <c r="C18" s="68" t="s">
        <v>32</v>
      </c>
      <c r="D18" s="69">
        <v>0.0</v>
      </c>
      <c r="E18" s="50" t="str">
        <f t="shared" si="2"/>
        <v>0</v>
      </c>
      <c r="F18" s="70">
        <v>1.0</v>
      </c>
      <c r="G18" s="52" t="s">
        <v>10</v>
      </c>
      <c r="H18" s="53"/>
      <c r="I18" s="71" t="s">
        <v>33</v>
      </c>
      <c r="J18" s="55"/>
    </row>
    <row r="19" ht="14.25" customHeight="1">
      <c r="A19" s="143">
        <v>17.0</v>
      </c>
      <c r="B19" s="47"/>
      <c r="C19" s="68" t="s">
        <v>34</v>
      </c>
      <c r="D19" s="49">
        <v>5.0</v>
      </c>
      <c r="E19" s="50" t="str">
        <f t="shared" si="2"/>
        <v>5</v>
      </c>
      <c r="F19" s="70">
        <v>2.0</v>
      </c>
      <c r="G19" s="52" t="s">
        <v>10</v>
      </c>
      <c r="H19" s="53"/>
      <c r="I19" s="72" t="s">
        <v>35</v>
      </c>
      <c r="J19" s="55"/>
    </row>
    <row r="20" ht="14.25" customHeight="1">
      <c r="A20" s="143">
        <v>18.0</v>
      </c>
      <c r="B20" s="47"/>
      <c r="C20" s="68" t="s">
        <v>36</v>
      </c>
      <c r="D20" s="49">
        <v>16.0</v>
      </c>
      <c r="E20" s="50" t="str">
        <f t="shared" si="2"/>
        <v>10</v>
      </c>
      <c r="F20" s="70">
        <v>1.0</v>
      </c>
      <c r="G20" s="52" t="s">
        <v>10</v>
      </c>
      <c r="H20" s="53"/>
      <c r="I20" s="71" t="s">
        <v>37</v>
      </c>
      <c r="J20" s="55"/>
    </row>
    <row r="21" ht="14.25" customHeight="1">
      <c r="A21" s="143">
        <v>19.0</v>
      </c>
      <c r="B21" s="47"/>
      <c r="C21" s="68" t="s">
        <v>38</v>
      </c>
      <c r="D21" s="49">
        <v>16.0</v>
      </c>
      <c r="E21" s="50" t="str">
        <f t="shared" si="2"/>
        <v>10</v>
      </c>
      <c r="F21" s="70">
        <v>1.0</v>
      </c>
      <c r="G21" s="52" t="s">
        <v>10</v>
      </c>
      <c r="H21" s="53"/>
      <c r="I21" s="72" t="s">
        <v>39</v>
      </c>
      <c r="J21" s="55"/>
    </row>
    <row r="22" ht="14.25" customHeight="1">
      <c r="A22" s="143">
        <v>20.0</v>
      </c>
      <c r="B22" s="73"/>
      <c r="C22" s="74" t="s">
        <v>40</v>
      </c>
      <c r="D22" s="59">
        <v>2.0</v>
      </c>
      <c r="E22" s="25" t="str">
        <f t="shared" si="2"/>
        <v>2</v>
      </c>
      <c r="F22" s="75">
        <v>1.0</v>
      </c>
      <c r="G22" s="76" t="s">
        <v>10</v>
      </c>
      <c r="H22" s="77"/>
      <c r="I22" s="78" t="s">
        <v>41</v>
      </c>
      <c r="J22" s="79"/>
    </row>
    <row r="23" ht="14.25" customHeight="1">
      <c r="A23" s="143">
        <v>21.0</v>
      </c>
      <c r="B23" s="38"/>
      <c r="C23" s="63" t="s">
        <v>30</v>
      </c>
      <c r="D23" s="64">
        <v>2.0</v>
      </c>
      <c r="E23" s="9" t="str">
        <f t="shared" si="2"/>
        <v>2</v>
      </c>
      <c r="F23" s="65">
        <v>1.0</v>
      </c>
      <c r="G23" s="66" t="s">
        <v>10</v>
      </c>
      <c r="H23" s="44"/>
      <c r="I23" s="67" t="s">
        <v>106</v>
      </c>
      <c r="J23" s="46"/>
    </row>
    <row r="24" ht="14.25" customHeight="1">
      <c r="A24" s="143">
        <v>22.0</v>
      </c>
      <c r="B24" s="47"/>
      <c r="C24" s="68" t="s">
        <v>32</v>
      </c>
      <c r="D24" s="69">
        <v>0.0</v>
      </c>
      <c r="E24" s="50" t="str">
        <f t="shared" si="2"/>
        <v>0</v>
      </c>
      <c r="F24" s="70">
        <v>1.0</v>
      </c>
      <c r="G24" s="52" t="s">
        <v>10</v>
      </c>
      <c r="H24" s="53"/>
      <c r="I24" s="71" t="s">
        <v>33</v>
      </c>
      <c r="J24" s="55"/>
    </row>
    <row r="25" ht="14.25" customHeight="1">
      <c r="A25" s="143">
        <v>23.0</v>
      </c>
      <c r="B25" s="47"/>
      <c r="C25" s="68" t="s">
        <v>34</v>
      </c>
      <c r="D25" s="49">
        <v>25.0</v>
      </c>
      <c r="E25" s="50" t="str">
        <f t="shared" si="2"/>
        <v>19</v>
      </c>
      <c r="F25" s="70">
        <v>2.0</v>
      </c>
      <c r="G25" s="52" t="s">
        <v>10</v>
      </c>
      <c r="H25" s="53"/>
      <c r="I25" s="72" t="s">
        <v>35</v>
      </c>
      <c r="J25" s="55"/>
    </row>
    <row r="26" ht="14.25" customHeight="1">
      <c r="A26" s="143">
        <v>24.0</v>
      </c>
      <c r="B26" s="47"/>
      <c r="C26" s="68" t="s">
        <v>36</v>
      </c>
      <c r="D26" s="49">
        <v>16.0</v>
      </c>
      <c r="E26" s="50" t="str">
        <f t="shared" si="2"/>
        <v>10</v>
      </c>
      <c r="F26" s="70">
        <v>1.0</v>
      </c>
      <c r="G26" s="52" t="s">
        <v>10</v>
      </c>
      <c r="H26" s="53"/>
      <c r="I26" s="71" t="s">
        <v>37</v>
      </c>
      <c r="J26" s="55"/>
    </row>
    <row r="27" ht="14.25" customHeight="1">
      <c r="A27" s="143">
        <v>25.0</v>
      </c>
      <c r="B27" s="47"/>
      <c r="C27" s="68" t="s">
        <v>38</v>
      </c>
      <c r="D27" s="49">
        <v>32.0</v>
      </c>
      <c r="E27" s="50" t="str">
        <f t="shared" si="2"/>
        <v>20</v>
      </c>
      <c r="F27" s="70">
        <v>1.0</v>
      </c>
      <c r="G27" s="52" t="s">
        <v>10</v>
      </c>
      <c r="H27" s="53"/>
      <c r="I27" s="72" t="s">
        <v>39</v>
      </c>
      <c r="J27" s="55"/>
    </row>
    <row r="28" ht="14.25" customHeight="1">
      <c r="A28" s="143">
        <v>26.0</v>
      </c>
      <c r="B28" s="73"/>
      <c r="C28" s="74" t="s">
        <v>40</v>
      </c>
      <c r="D28" s="59">
        <v>2.0</v>
      </c>
      <c r="E28" s="25" t="str">
        <f t="shared" si="2"/>
        <v>2</v>
      </c>
      <c r="F28" s="75">
        <v>1.0</v>
      </c>
      <c r="G28" s="76" t="s">
        <v>10</v>
      </c>
      <c r="H28" s="77"/>
      <c r="I28" s="78" t="s">
        <v>41</v>
      </c>
      <c r="J28" s="79"/>
    </row>
    <row r="29" ht="14.25" customHeight="1">
      <c r="A29" s="143">
        <v>27.0</v>
      </c>
      <c r="B29" s="38"/>
      <c r="C29" s="63" t="s">
        <v>30</v>
      </c>
      <c r="D29" s="64">
        <v>2.0</v>
      </c>
      <c r="E29" s="9" t="str">
        <f t="shared" si="2"/>
        <v>2</v>
      </c>
      <c r="F29" s="65">
        <v>1.0</v>
      </c>
      <c r="G29" s="66" t="s">
        <v>10</v>
      </c>
      <c r="H29" s="44"/>
      <c r="I29" s="67" t="s">
        <v>107</v>
      </c>
      <c r="J29" s="46"/>
    </row>
    <row r="30" ht="14.25" customHeight="1">
      <c r="A30" s="143">
        <v>28.0</v>
      </c>
      <c r="B30" s="47"/>
      <c r="C30" s="68" t="s">
        <v>32</v>
      </c>
      <c r="D30" s="69">
        <v>0.0</v>
      </c>
      <c r="E30" s="50" t="str">
        <f t="shared" si="2"/>
        <v>0</v>
      </c>
      <c r="F30" s="70">
        <v>1.0</v>
      </c>
      <c r="G30" s="52" t="s">
        <v>10</v>
      </c>
      <c r="H30" s="53"/>
      <c r="I30" s="71" t="s">
        <v>33</v>
      </c>
      <c r="J30" s="55"/>
    </row>
    <row r="31" ht="14.25" customHeight="1">
      <c r="A31" s="143">
        <v>29.0</v>
      </c>
      <c r="B31" s="47"/>
      <c r="C31" s="68" t="s">
        <v>34</v>
      </c>
      <c r="D31" s="49">
        <v>26.0</v>
      </c>
      <c r="E31" s="50" t="str">
        <f t="shared" si="2"/>
        <v>1A</v>
      </c>
      <c r="F31" s="70">
        <v>2.0</v>
      </c>
      <c r="G31" s="52" t="s">
        <v>10</v>
      </c>
      <c r="H31" s="53"/>
      <c r="I31" s="72" t="s">
        <v>35</v>
      </c>
      <c r="J31" s="55"/>
    </row>
    <row r="32" ht="14.25" customHeight="1">
      <c r="A32" s="143">
        <v>30.0</v>
      </c>
      <c r="B32" s="47"/>
      <c r="C32" s="68" t="s">
        <v>36</v>
      </c>
      <c r="D32" s="49">
        <v>16.0</v>
      </c>
      <c r="E32" s="50" t="str">
        <f t="shared" si="2"/>
        <v>10</v>
      </c>
      <c r="F32" s="70">
        <v>1.0</v>
      </c>
      <c r="G32" s="52" t="s">
        <v>10</v>
      </c>
      <c r="H32" s="53"/>
      <c r="I32" s="71" t="s">
        <v>37</v>
      </c>
      <c r="J32" s="55"/>
    </row>
    <row r="33" ht="14.25" customHeight="1">
      <c r="A33" s="143">
        <v>31.0</v>
      </c>
      <c r="B33" s="47"/>
      <c r="C33" s="68" t="s">
        <v>38</v>
      </c>
      <c r="D33" s="49">
        <v>48.0</v>
      </c>
      <c r="E33" s="50" t="str">
        <f t="shared" si="2"/>
        <v>30</v>
      </c>
      <c r="F33" s="70">
        <v>1.0</v>
      </c>
      <c r="G33" s="52" t="s">
        <v>10</v>
      </c>
      <c r="H33" s="53"/>
      <c r="I33" s="72" t="s">
        <v>39</v>
      </c>
      <c r="J33" s="55"/>
    </row>
    <row r="34" ht="14.25" customHeight="1">
      <c r="A34" s="143">
        <v>32.0</v>
      </c>
      <c r="B34" s="73"/>
      <c r="C34" s="74" t="s">
        <v>40</v>
      </c>
      <c r="D34" s="59">
        <v>2.0</v>
      </c>
      <c r="E34" s="25" t="str">
        <f t="shared" si="2"/>
        <v>2</v>
      </c>
      <c r="F34" s="75">
        <v>1.0</v>
      </c>
      <c r="G34" s="76" t="s">
        <v>10</v>
      </c>
      <c r="H34" s="77"/>
      <c r="I34" s="78" t="s">
        <v>41</v>
      </c>
      <c r="J34" s="79"/>
    </row>
    <row r="35" ht="14.25" customHeight="1">
      <c r="A35" s="143">
        <v>33.0</v>
      </c>
      <c r="B35" s="38"/>
      <c r="C35" s="39" t="s">
        <v>19</v>
      </c>
      <c r="D35" s="40" t="s">
        <v>66</v>
      </c>
      <c r="E35" s="41">
        <v>289.0</v>
      </c>
      <c r="F35" s="42">
        <v>2.0</v>
      </c>
      <c r="G35" s="43" t="s">
        <v>10</v>
      </c>
      <c r="H35" s="44"/>
      <c r="I35" s="45" t="s">
        <v>108</v>
      </c>
      <c r="J35" s="46"/>
    </row>
    <row r="36" ht="14.25" customHeight="1">
      <c r="A36" s="143">
        <v>34.0</v>
      </c>
      <c r="B36" s="47"/>
      <c r="C36" s="48" t="s">
        <v>22</v>
      </c>
      <c r="D36" s="49">
        <v>5.0</v>
      </c>
      <c r="E36" s="50" t="str">
        <f t="shared" ref="E36:E64" si="3"> DEC2HEX(D36)</f>
        <v>5</v>
      </c>
      <c r="F36" s="51">
        <v>2.0</v>
      </c>
      <c r="G36" s="52" t="s">
        <v>10</v>
      </c>
      <c r="H36" s="53"/>
      <c r="I36" s="54" t="s">
        <v>23</v>
      </c>
      <c r="J36" s="55"/>
    </row>
    <row r="37" ht="14.25" customHeight="1">
      <c r="A37" s="143">
        <v>35.0</v>
      </c>
      <c r="B37" s="47"/>
      <c r="C37" s="48" t="s">
        <v>24</v>
      </c>
      <c r="D37" s="49">
        <v>8.0</v>
      </c>
      <c r="E37" s="50" t="str">
        <f t="shared" si="3"/>
        <v>8</v>
      </c>
      <c r="F37" s="51">
        <v>1.0</v>
      </c>
      <c r="G37" s="52" t="s">
        <v>10</v>
      </c>
      <c r="H37" s="53"/>
      <c r="I37" s="54" t="s">
        <v>25</v>
      </c>
      <c r="J37" s="55"/>
    </row>
    <row r="38" ht="14.25" customHeight="1">
      <c r="A38" s="143">
        <v>36.0</v>
      </c>
      <c r="B38" s="47"/>
      <c r="C38" s="56" t="s">
        <v>26</v>
      </c>
      <c r="D38" s="49">
        <v>0.0</v>
      </c>
      <c r="E38" s="50" t="str">
        <f t="shared" si="3"/>
        <v>0</v>
      </c>
      <c r="F38" s="51">
        <v>1.0</v>
      </c>
      <c r="G38" s="52" t="s">
        <v>10</v>
      </c>
      <c r="H38" s="53"/>
      <c r="I38" s="57" t="s">
        <v>27</v>
      </c>
      <c r="J38" s="55"/>
    </row>
    <row r="39" ht="14.25" customHeight="1">
      <c r="A39" s="143">
        <v>37.0</v>
      </c>
      <c r="B39" s="47"/>
      <c r="C39" s="58" t="s">
        <v>28</v>
      </c>
      <c r="D39" s="59">
        <v>4.0</v>
      </c>
      <c r="E39" s="25" t="str">
        <f t="shared" si="3"/>
        <v>4</v>
      </c>
      <c r="F39" s="60">
        <v>1.0</v>
      </c>
      <c r="G39" s="61" t="s">
        <v>10</v>
      </c>
      <c r="H39" s="53"/>
      <c r="I39" s="62" t="s">
        <v>29</v>
      </c>
      <c r="J39" s="55"/>
    </row>
    <row r="40" ht="14.25" customHeight="1">
      <c r="A40" s="143">
        <v>38.0</v>
      </c>
      <c r="B40" s="47"/>
      <c r="C40" s="63" t="s">
        <v>30</v>
      </c>
      <c r="D40" s="64">
        <v>2.0</v>
      </c>
      <c r="E40" s="9" t="str">
        <f t="shared" si="3"/>
        <v>2</v>
      </c>
      <c r="F40" s="65">
        <v>1.0</v>
      </c>
      <c r="G40" s="66" t="s">
        <v>10</v>
      </c>
      <c r="H40" s="53"/>
      <c r="I40" s="67" t="s">
        <v>109</v>
      </c>
      <c r="J40" s="55"/>
    </row>
    <row r="41" ht="14.25" customHeight="1">
      <c r="A41" s="143">
        <v>39.0</v>
      </c>
      <c r="B41" s="47"/>
      <c r="C41" s="68" t="s">
        <v>32</v>
      </c>
      <c r="D41" s="69">
        <v>0.0</v>
      </c>
      <c r="E41" s="50" t="str">
        <f t="shared" si="3"/>
        <v>0</v>
      </c>
      <c r="F41" s="70">
        <v>1.0</v>
      </c>
      <c r="G41" s="52" t="s">
        <v>10</v>
      </c>
      <c r="H41" s="53"/>
      <c r="I41" s="71" t="s">
        <v>33</v>
      </c>
      <c r="J41" s="55"/>
    </row>
    <row r="42" ht="14.25" customHeight="1">
      <c r="A42" s="143">
        <v>40.0</v>
      </c>
      <c r="B42" s="47"/>
      <c r="C42" s="68" t="s">
        <v>34</v>
      </c>
      <c r="D42" s="49">
        <v>7.0</v>
      </c>
      <c r="E42" s="50" t="str">
        <f t="shared" si="3"/>
        <v>7</v>
      </c>
      <c r="F42" s="70">
        <v>2.0</v>
      </c>
      <c r="G42" s="52" t="s">
        <v>10</v>
      </c>
      <c r="H42" s="53"/>
      <c r="I42" s="72" t="s">
        <v>35</v>
      </c>
      <c r="J42" s="55"/>
    </row>
    <row r="43" ht="14.25" customHeight="1">
      <c r="A43" s="143">
        <v>41.0</v>
      </c>
      <c r="B43" s="47"/>
      <c r="C43" s="68" t="s">
        <v>36</v>
      </c>
      <c r="D43" s="49">
        <v>16.0</v>
      </c>
      <c r="E43" s="50" t="str">
        <f t="shared" si="3"/>
        <v>10</v>
      </c>
      <c r="F43" s="70">
        <v>1.0</v>
      </c>
      <c r="G43" s="52" t="s">
        <v>10</v>
      </c>
      <c r="H43" s="53"/>
      <c r="I43" s="71" t="s">
        <v>37</v>
      </c>
      <c r="J43" s="55"/>
    </row>
    <row r="44" ht="14.25" customHeight="1">
      <c r="A44" s="143">
        <v>42.0</v>
      </c>
      <c r="B44" s="47"/>
      <c r="C44" s="68" t="s">
        <v>38</v>
      </c>
      <c r="D44" s="49">
        <v>0.0</v>
      </c>
      <c r="E44" s="50" t="str">
        <f t="shared" si="3"/>
        <v>0</v>
      </c>
      <c r="F44" s="70">
        <v>1.0</v>
      </c>
      <c r="G44" s="52" t="s">
        <v>10</v>
      </c>
      <c r="H44" s="53"/>
      <c r="I44" s="72" t="s">
        <v>39</v>
      </c>
      <c r="J44" s="55"/>
    </row>
    <row r="45" ht="14.25" customHeight="1">
      <c r="A45" s="143">
        <v>43.0</v>
      </c>
      <c r="B45" s="73"/>
      <c r="C45" s="74" t="s">
        <v>40</v>
      </c>
      <c r="D45" s="59">
        <v>2.0</v>
      </c>
      <c r="E45" s="25" t="str">
        <f t="shared" si="3"/>
        <v>2</v>
      </c>
      <c r="F45" s="75">
        <v>1.0</v>
      </c>
      <c r="G45" s="76" t="s">
        <v>10</v>
      </c>
      <c r="H45" s="77"/>
      <c r="I45" s="78" t="s">
        <v>41</v>
      </c>
      <c r="J45" s="79"/>
    </row>
    <row r="46" ht="14.25" customHeight="1">
      <c r="A46" s="143">
        <v>44.0</v>
      </c>
      <c r="B46" s="38"/>
      <c r="C46" s="63" t="s">
        <v>30</v>
      </c>
      <c r="D46" s="64">
        <v>2.0</v>
      </c>
      <c r="E46" s="9" t="str">
        <f t="shared" si="3"/>
        <v>2</v>
      </c>
      <c r="F46" s="65">
        <v>1.0</v>
      </c>
      <c r="G46" s="66" t="s">
        <v>10</v>
      </c>
      <c r="H46" s="44"/>
      <c r="I46" s="67" t="s">
        <v>110</v>
      </c>
      <c r="J46" s="46"/>
    </row>
    <row r="47" ht="14.25" customHeight="1">
      <c r="A47" s="143">
        <v>45.0</v>
      </c>
      <c r="B47" s="47"/>
      <c r="C47" s="68" t="s">
        <v>32</v>
      </c>
      <c r="D47" s="69">
        <v>0.0</v>
      </c>
      <c r="E47" s="50" t="str">
        <f t="shared" si="3"/>
        <v>0</v>
      </c>
      <c r="F47" s="70">
        <v>1.0</v>
      </c>
      <c r="G47" s="52" t="s">
        <v>10</v>
      </c>
      <c r="H47" s="53"/>
      <c r="I47" s="71" t="s">
        <v>33</v>
      </c>
      <c r="J47" s="55"/>
    </row>
    <row r="48" ht="14.25" customHeight="1">
      <c r="A48" s="143">
        <v>46.0</v>
      </c>
      <c r="B48" s="47"/>
      <c r="C48" s="68" t="s">
        <v>34</v>
      </c>
      <c r="D48" s="49">
        <v>8.0</v>
      </c>
      <c r="E48" s="50" t="str">
        <f t="shared" si="3"/>
        <v>8</v>
      </c>
      <c r="F48" s="70">
        <v>2.0</v>
      </c>
      <c r="G48" s="52" t="s">
        <v>10</v>
      </c>
      <c r="H48" s="53"/>
      <c r="I48" s="72" t="s">
        <v>35</v>
      </c>
      <c r="J48" s="55"/>
    </row>
    <row r="49" ht="14.25" customHeight="1">
      <c r="A49" s="143">
        <v>47.0</v>
      </c>
      <c r="B49" s="47"/>
      <c r="C49" s="68" t="s">
        <v>36</v>
      </c>
      <c r="D49" s="49">
        <v>16.0</v>
      </c>
      <c r="E49" s="50" t="str">
        <f t="shared" si="3"/>
        <v>10</v>
      </c>
      <c r="F49" s="70">
        <v>1.0</v>
      </c>
      <c r="G49" s="52" t="s">
        <v>10</v>
      </c>
      <c r="H49" s="53"/>
      <c r="I49" s="71" t="s">
        <v>37</v>
      </c>
      <c r="J49" s="55"/>
    </row>
    <row r="50" ht="14.25" customHeight="1">
      <c r="A50" s="143">
        <v>48.0</v>
      </c>
      <c r="B50" s="47"/>
      <c r="C50" s="68" t="s">
        <v>38</v>
      </c>
      <c r="D50" s="49">
        <v>16.0</v>
      </c>
      <c r="E50" s="50" t="str">
        <f t="shared" si="3"/>
        <v>10</v>
      </c>
      <c r="F50" s="70">
        <v>1.0</v>
      </c>
      <c r="G50" s="52" t="s">
        <v>10</v>
      </c>
      <c r="H50" s="53"/>
      <c r="I50" s="72" t="s">
        <v>39</v>
      </c>
      <c r="J50" s="55"/>
    </row>
    <row r="51" ht="14.25" customHeight="1">
      <c r="A51" s="143">
        <v>49.0</v>
      </c>
      <c r="B51" s="73"/>
      <c r="C51" s="74" t="s">
        <v>40</v>
      </c>
      <c r="D51" s="59">
        <v>2.0</v>
      </c>
      <c r="E51" s="25" t="str">
        <f t="shared" si="3"/>
        <v>2</v>
      </c>
      <c r="F51" s="75">
        <v>1.0</v>
      </c>
      <c r="G51" s="76" t="s">
        <v>10</v>
      </c>
      <c r="H51" s="77"/>
      <c r="I51" s="78" t="s">
        <v>41</v>
      </c>
      <c r="J51" s="79"/>
    </row>
    <row r="52" ht="14.25" customHeight="1">
      <c r="A52" s="143">
        <v>50.0</v>
      </c>
      <c r="B52" s="38"/>
      <c r="C52" s="63" t="s">
        <v>30</v>
      </c>
      <c r="D52" s="64">
        <v>2.0</v>
      </c>
      <c r="E52" s="9" t="str">
        <f t="shared" si="3"/>
        <v>2</v>
      </c>
      <c r="F52" s="65">
        <v>1.0</v>
      </c>
      <c r="G52" s="66" t="s">
        <v>10</v>
      </c>
      <c r="H52" s="44"/>
      <c r="I52" s="67" t="s">
        <v>111</v>
      </c>
      <c r="J52" s="46"/>
    </row>
    <row r="53" ht="14.25" customHeight="1">
      <c r="A53" s="143">
        <v>51.0</v>
      </c>
      <c r="B53" s="47"/>
      <c r="C53" s="68" t="s">
        <v>32</v>
      </c>
      <c r="D53" s="69">
        <v>0.0</v>
      </c>
      <c r="E53" s="50" t="str">
        <f t="shared" si="3"/>
        <v>0</v>
      </c>
      <c r="F53" s="70">
        <v>1.0</v>
      </c>
      <c r="G53" s="52" t="s">
        <v>10</v>
      </c>
      <c r="H53" s="53"/>
      <c r="I53" s="71" t="s">
        <v>33</v>
      </c>
      <c r="J53" s="55"/>
    </row>
    <row r="54" ht="14.25" customHeight="1">
      <c r="A54" s="143">
        <v>52.0</v>
      </c>
      <c r="B54" s="47"/>
      <c r="C54" s="68" t="s">
        <v>34</v>
      </c>
      <c r="D54" s="49">
        <v>21.0</v>
      </c>
      <c r="E54" s="50" t="str">
        <f t="shared" si="3"/>
        <v>15</v>
      </c>
      <c r="F54" s="70">
        <v>2.0</v>
      </c>
      <c r="G54" s="52" t="s">
        <v>10</v>
      </c>
      <c r="H54" s="53"/>
      <c r="I54" s="72" t="s">
        <v>35</v>
      </c>
      <c r="J54" s="55"/>
    </row>
    <row r="55" ht="14.25" customHeight="1">
      <c r="A55" s="143">
        <v>53.0</v>
      </c>
      <c r="B55" s="47"/>
      <c r="C55" s="68" t="s">
        <v>36</v>
      </c>
      <c r="D55" s="49">
        <v>16.0</v>
      </c>
      <c r="E55" s="50" t="str">
        <f t="shared" si="3"/>
        <v>10</v>
      </c>
      <c r="F55" s="70">
        <v>1.0</v>
      </c>
      <c r="G55" s="52" t="s">
        <v>10</v>
      </c>
      <c r="H55" s="53"/>
      <c r="I55" s="71" t="s">
        <v>37</v>
      </c>
      <c r="J55" s="55"/>
    </row>
    <row r="56" ht="14.25" customHeight="1">
      <c r="A56" s="143">
        <v>54.0</v>
      </c>
      <c r="B56" s="47"/>
      <c r="C56" s="68" t="s">
        <v>38</v>
      </c>
      <c r="D56" s="49">
        <v>32.0</v>
      </c>
      <c r="E56" s="50" t="str">
        <f t="shared" si="3"/>
        <v>20</v>
      </c>
      <c r="F56" s="70">
        <v>1.0</v>
      </c>
      <c r="G56" s="52" t="s">
        <v>10</v>
      </c>
      <c r="H56" s="53"/>
      <c r="I56" s="72" t="s">
        <v>39</v>
      </c>
      <c r="J56" s="55"/>
    </row>
    <row r="57" ht="14.25" customHeight="1">
      <c r="A57" s="143">
        <v>55.0</v>
      </c>
      <c r="B57" s="73"/>
      <c r="C57" s="74" t="s">
        <v>40</v>
      </c>
      <c r="D57" s="59">
        <v>2.0</v>
      </c>
      <c r="E57" s="25" t="str">
        <f t="shared" si="3"/>
        <v>2</v>
      </c>
      <c r="F57" s="75">
        <v>1.0</v>
      </c>
      <c r="G57" s="76" t="s">
        <v>10</v>
      </c>
      <c r="H57" s="77"/>
      <c r="I57" s="78" t="s">
        <v>41</v>
      </c>
      <c r="J57" s="79"/>
    </row>
    <row r="58" ht="14.25" customHeight="1">
      <c r="A58" s="143">
        <v>56.0</v>
      </c>
      <c r="B58" s="38"/>
      <c r="C58" s="63" t="s">
        <v>30</v>
      </c>
      <c r="D58" s="64">
        <v>2.0</v>
      </c>
      <c r="E58" s="9" t="str">
        <f t="shared" si="3"/>
        <v>2</v>
      </c>
      <c r="F58" s="65">
        <v>1.0</v>
      </c>
      <c r="G58" s="66" t="s">
        <v>10</v>
      </c>
      <c r="H58" s="44"/>
      <c r="I58" s="67" t="s">
        <v>112</v>
      </c>
      <c r="J58" s="46"/>
    </row>
    <row r="59" ht="14.25" customHeight="1">
      <c r="A59" s="143">
        <v>57.0</v>
      </c>
      <c r="B59" s="47"/>
      <c r="C59" s="68" t="s">
        <v>32</v>
      </c>
      <c r="D59" s="69">
        <v>0.0</v>
      </c>
      <c r="E59" s="50" t="str">
        <f t="shared" si="3"/>
        <v>0</v>
      </c>
      <c r="F59" s="70">
        <v>1.0</v>
      </c>
      <c r="G59" s="52" t="s">
        <v>10</v>
      </c>
      <c r="H59" s="53"/>
      <c r="I59" s="71" t="s">
        <v>33</v>
      </c>
      <c r="J59" s="55"/>
    </row>
    <row r="60" ht="14.25" customHeight="1">
      <c r="A60" s="143">
        <v>58.0</v>
      </c>
      <c r="B60" s="47"/>
      <c r="C60" s="68" t="s">
        <v>34</v>
      </c>
      <c r="D60" s="49">
        <v>27.0</v>
      </c>
      <c r="E60" s="50" t="str">
        <f t="shared" si="3"/>
        <v>1B</v>
      </c>
      <c r="F60" s="70">
        <v>2.0</v>
      </c>
      <c r="G60" s="52" t="s">
        <v>10</v>
      </c>
      <c r="H60" s="53"/>
      <c r="I60" s="72" t="s">
        <v>35</v>
      </c>
      <c r="J60" s="55"/>
    </row>
    <row r="61" ht="14.25" customHeight="1">
      <c r="A61" s="143">
        <v>59.0</v>
      </c>
      <c r="B61" s="47"/>
      <c r="C61" s="68" t="s">
        <v>36</v>
      </c>
      <c r="D61" s="49">
        <v>16.0</v>
      </c>
      <c r="E61" s="50" t="str">
        <f t="shared" si="3"/>
        <v>10</v>
      </c>
      <c r="F61" s="70">
        <v>1.0</v>
      </c>
      <c r="G61" s="52" t="s">
        <v>10</v>
      </c>
      <c r="H61" s="53"/>
      <c r="I61" s="71" t="s">
        <v>37</v>
      </c>
      <c r="J61" s="55"/>
    </row>
    <row r="62" ht="14.25" customHeight="1">
      <c r="A62" s="143">
        <v>60.0</v>
      </c>
      <c r="B62" s="47"/>
      <c r="C62" s="68" t="s">
        <v>38</v>
      </c>
      <c r="D62" s="49">
        <v>48.0</v>
      </c>
      <c r="E62" s="50" t="str">
        <f t="shared" si="3"/>
        <v>30</v>
      </c>
      <c r="F62" s="70">
        <v>1.0</v>
      </c>
      <c r="G62" s="52" t="s">
        <v>10</v>
      </c>
      <c r="H62" s="53"/>
      <c r="I62" s="72" t="s">
        <v>39</v>
      </c>
      <c r="J62" s="55"/>
    </row>
    <row r="63" ht="14.25" customHeight="1">
      <c r="A63" s="143">
        <v>61.0</v>
      </c>
      <c r="B63" s="73"/>
      <c r="C63" s="74" t="s">
        <v>40</v>
      </c>
      <c r="D63" s="59">
        <v>2.0</v>
      </c>
      <c r="E63" s="25" t="str">
        <f t="shared" si="3"/>
        <v>2</v>
      </c>
      <c r="F63" s="75">
        <v>1.0</v>
      </c>
      <c r="G63" s="76" t="s">
        <v>10</v>
      </c>
      <c r="H63" s="77"/>
      <c r="I63" s="78" t="s">
        <v>41</v>
      </c>
      <c r="J63" s="79"/>
    </row>
    <row r="64" ht="14.25" customHeight="1">
      <c r="A64" s="143">
        <v>62.0</v>
      </c>
      <c r="B64" s="80"/>
      <c r="C64" s="30" t="s">
        <v>43</v>
      </c>
      <c r="D64" s="31">
        <v>1.0</v>
      </c>
      <c r="E64" s="32" t="str">
        <f t="shared" si="3"/>
        <v>1</v>
      </c>
      <c r="F64" s="32">
        <v>1.0</v>
      </c>
      <c r="G64" s="81"/>
      <c r="H64" s="82"/>
      <c r="I64" s="35" t="s">
        <v>113</v>
      </c>
      <c r="J64" s="34"/>
    </row>
    <row r="65" ht="14.25" customHeight="1">
      <c r="A65" s="143">
        <v>63.0</v>
      </c>
      <c r="B65" s="83"/>
      <c r="C65" s="84" t="s">
        <v>45</v>
      </c>
      <c r="D65" s="85" t="s">
        <v>66</v>
      </c>
      <c r="E65" s="41">
        <v>188.0</v>
      </c>
      <c r="F65" s="86">
        <v>2.0</v>
      </c>
      <c r="G65" s="87" t="s">
        <v>10</v>
      </c>
      <c r="H65" s="88"/>
      <c r="I65" s="89" t="s">
        <v>114</v>
      </c>
      <c r="J65" s="90"/>
    </row>
    <row r="66" ht="14.25" customHeight="1">
      <c r="A66" s="143">
        <v>64.0</v>
      </c>
      <c r="B66" s="91"/>
      <c r="C66" s="92" t="s">
        <v>47</v>
      </c>
      <c r="D66" s="49">
        <v>50.0</v>
      </c>
      <c r="E66" s="50" t="str">
        <f t="shared" ref="E66:E96" si="4"> DEC2HEX(D66)</f>
        <v>32</v>
      </c>
      <c r="F66" s="93">
        <v>2.0</v>
      </c>
      <c r="G66" s="94" t="s">
        <v>10</v>
      </c>
      <c r="H66" s="95"/>
      <c r="I66" s="96" t="s">
        <v>48</v>
      </c>
      <c r="J66" s="97"/>
    </row>
    <row r="67" ht="14.25" customHeight="1">
      <c r="A67" s="143">
        <v>65.0</v>
      </c>
      <c r="B67" s="91"/>
      <c r="C67" s="92" t="s">
        <v>24</v>
      </c>
      <c r="D67" s="49">
        <v>8.0</v>
      </c>
      <c r="E67" s="50" t="str">
        <f t="shared" si="4"/>
        <v>8</v>
      </c>
      <c r="F67" s="93">
        <v>1.0</v>
      </c>
      <c r="G67" s="94" t="s">
        <v>10</v>
      </c>
      <c r="H67" s="95"/>
      <c r="I67" s="96" t="s">
        <v>25</v>
      </c>
      <c r="J67" s="97"/>
    </row>
    <row r="68" ht="14.25" customHeight="1">
      <c r="A68" s="143">
        <v>66.0</v>
      </c>
      <c r="B68" s="98"/>
      <c r="C68" s="92" t="s">
        <v>49</v>
      </c>
      <c r="D68" s="69">
        <v>0.0</v>
      </c>
      <c r="E68" s="50" t="str">
        <f t="shared" si="4"/>
        <v>0</v>
      </c>
      <c r="F68" s="93">
        <v>1.0</v>
      </c>
      <c r="G68" s="94" t="s">
        <v>10</v>
      </c>
      <c r="H68" s="95"/>
      <c r="I68" s="96" t="s">
        <v>33</v>
      </c>
      <c r="J68" s="97"/>
    </row>
    <row r="69" ht="14.25" customHeight="1">
      <c r="A69" s="143">
        <v>67.0</v>
      </c>
      <c r="B69" s="99"/>
      <c r="C69" s="100" t="s">
        <v>50</v>
      </c>
      <c r="D69" s="59">
        <v>4.0</v>
      </c>
      <c r="E69" s="25" t="str">
        <f t="shared" si="4"/>
        <v>4</v>
      </c>
      <c r="F69" s="101">
        <v>1.0</v>
      </c>
      <c r="G69" s="102" t="s">
        <v>10</v>
      </c>
      <c r="H69" s="103"/>
      <c r="I69" s="104" t="s">
        <v>51</v>
      </c>
      <c r="J69" s="105"/>
    </row>
    <row r="70" ht="14.25" customHeight="1">
      <c r="A70" s="143">
        <v>68.0</v>
      </c>
      <c r="B70" s="106"/>
      <c r="C70" s="107" t="s">
        <v>30</v>
      </c>
      <c r="D70" s="64">
        <v>2.0</v>
      </c>
      <c r="E70" s="9" t="str">
        <f t="shared" si="4"/>
        <v>2</v>
      </c>
      <c r="F70" s="108">
        <v>1.0</v>
      </c>
      <c r="G70" s="109" t="s">
        <v>10</v>
      </c>
      <c r="H70" s="88"/>
      <c r="I70" s="110" t="s">
        <v>115</v>
      </c>
      <c r="J70" s="90"/>
    </row>
    <row r="71" ht="14.25" customHeight="1">
      <c r="A71" s="143">
        <v>69.0</v>
      </c>
      <c r="B71" s="98"/>
      <c r="C71" s="111" t="s">
        <v>32</v>
      </c>
      <c r="D71" s="69">
        <v>0.0</v>
      </c>
      <c r="E71" s="50" t="str">
        <f t="shared" si="4"/>
        <v>0</v>
      </c>
      <c r="F71" s="112">
        <v>1.0</v>
      </c>
      <c r="G71" s="113" t="s">
        <v>10</v>
      </c>
      <c r="H71" s="95"/>
      <c r="I71" s="114" t="s">
        <v>33</v>
      </c>
      <c r="J71" s="97"/>
    </row>
    <row r="72" ht="14.25" customHeight="1">
      <c r="A72" s="143">
        <v>70.0</v>
      </c>
      <c r="B72" s="98"/>
      <c r="C72" s="111" t="s">
        <v>34</v>
      </c>
      <c r="D72" s="49">
        <v>4.0</v>
      </c>
      <c r="E72" s="50" t="str">
        <f t="shared" si="4"/>
        <v>4</v>
      </c>
      <c r="F72" s="112">
        <v>2.0</v>
      </c>
      <c r="G72" s="113" t="s">
        <v>10</v>
      </c>
      <c r="H72" s="95"/>
      <c r="I72" s="114" t="s">
        <v>35</v>
      </c>
      <c r="J72" s="97"/>
    </row>
    <row r="73" ht="14.25" customHeight="1">
      <c r="A73" s="143">
        <v>71.0</v>
      </c>
      <c r="B73" s="98"/>
      <c r="C73" s="111" t="s">
        <v>36</v>
      </c>
      <c r="D73" s="49">
        <v>16.0</v>
      </c>
      <c r="E73" s="50" t="str">
        <f t="shared" si="4"/>
        <v>10</v>
      </c>
      <c r="F73" s="112">
        <v>1.0</v>
      </c>
      <c r="G73" s="113" t="s">
        <v>10</v>
      </c>
      <c r="H73" s="95"/>
      <c r="I73" s="114" t="s">
        <v>37</v>
      </c>
      <c r="J73" s="97"/>
    </row>
    <row r="74" ht="14.25" customHeight="1">
      <c r="A74" s="143">
        <v>72.0</v>
      </c>
      <c r="B74" s="98"/>
      <c r="C74" s="111" t="s">
        <v>38</v>
      </c>
      <c r="D74" s="49">
        <v>0.0</v>
      </c>
      <c r="E74" s="50" t="str">
        <f t="shared" si="4"/>
        <v>0</v>
      </c>
      <c r="F74" s="112">
        <v>1.0</v>
      </c>
      <c r="G74" s="113" t="s">
        <v>10</v>
      </c>
      <c r="H74" s="95"/>
      <c r="I74" s="114" t="s">
        <v>39</v>
      </c>
      <c r="J74" s="97"/>
    </row>
    <row r="75" ht="14.25" customHeight="1">
      <c r="A75" s="143">
        <v>73.0</v>
      </c>
      <c r="B75" s="99"/>
      <c r="C75" s="115" t="s">
        <v>53</v>
      </c>
      <c r="D75" s="59">
        <v>0.0</v>
      </c>
      <c r="E75" s="25" t="str">
        <f t="shared" si="4"/>
        <v>0</v>
      </c>
      <c r="F75" s="116">
        <v>1.0</v>
      </c>
      <c r="G75" s="117" t="s">
        <v>10</v>
      </c>
      <c r="H75" s="103"/>
      <c r="I75" s="118" t="s">
        <v>54</v>
      </c>
      <c r="J75" s="105"/>
    </row>
    <row r="76" ht="14.25" customHeight="1">
      <c r="A76" s="143">
        <v>74.0</v>
      </c>
      <c r="B76" s="106"/>
      <c r="C76" s="107" t="s">
        <v>30</v>
      </c>
      <c r="D76" s="64">
        <v>2.0</v>
      </c>
      <c r="E76" s="9" t="str">
        <f t="shared" si="4"/>
        <v>2</v>
      </c>
      <c r="F76" s="108">
        <v>1.0</v>
      </c>
      <c r="G76" s="109" t="s">
        <v>10</v>
      </c>
      <c r="H76" s="88"/>
      <c r="I76" s="110" t="s">
        <v>116</v>
      </c>
      <c r="J76" s="90"/>
    </row>
    <row r="77" ht="14.25" customHeight="1">
      <c r="A77" s="143">
        <v>75.0</v>
      </c>
      <c r="B77" s="98"/>
      <c r="C77" s="111" t="s">
        <v>32</v>
      </c>
      <c r="D77" s="69">
        <v>0.0</v>
      </c>
      <c r="E77" s="50" t="str">
        <f t="shared" si="4"/>
        <v>0</v>
      </c>
      <c r="F77" s="112">
        <v>1.0</v>
      </c>
      <c r="G77" s="113" t="s">
        <v>10</v>
      </c>
      <c r="H77" s="95"/>
      <c r="I77" s="114" t="s">
        <v>33</v>
      </c>
      <c r="J77" s="97"/>
    </row>
    <row r="78" ht="14.25" customHeight="1">
      <c r="A78" s="143">
        <v>76.0</v>
      </c>
      <c r="B78" s="98"/>
      <c r="C78" s="111" t="s">
        <v>34</v>
      </c>
      <c r="D78" s="49">
        <v>17.0</v>
      </c>
      <c r="E78" s="50" t="str">
        <f t="shared" si="4"/>
        <v>11</v>
      </c>
      <c r="F78" s="112">
        <v>2.0</v>
      </c>
      <c r="G78" s="113" t="s">
        <v>10</v>
      </c>
      <c r="H78" s="95"/>
      <c r="I78" s="114" t="s">
        <v>35</v>
      </c>
      <c r="J78" s="97"/>
    </row>
    <row r="79" ht="14.25" customHeight="1">
      <c r="A79" s="143">
        <v>77.0</v>
      </c>
      <c r="B79" s="98"/>
      <c r="C79" s="111" t="s">
        <v>36</v>
      </c>
      <c r="D79" s="49">
        <v>16.0</v>
      </c>
      <c r="E79" s="50" t="str">
        <f t="shared" si="4"/>
        <v>10</v>
      </c>
      <c r="F79" s="112">
        <v>1.0</v>
      </c>
      <c r="G79" s="113" t="s">
        <v>10</v>
      </c>
      <c r="H79" s="95"/>
      <c r="I79" s="114" t="s">
        <v>37</v>
      </c>
      <c r="J79" s="97"/>
    </row>
    <row r="80" ht="14.25" customHeight="1">
      <c r="A80" s="143">
        <v>78.0</v>
      </c>
      <c r="B80" s="98"/>
      <c r="C80" s="111" t="s">
        <v>38</v>
      </c>
      <c r="D80" s="49">
        <v>16.0</v>
      </c>
      <c r="E80" s="50" t="str">
        <f t="shared" si="4"/>
        <v>10</v>
      </c>
      <c r="F80" s="112">
        <v>1.0</v>
      </c>
      <c r="G80" s="113" t="s">
        <v>10</v>
      </c>
      <c r="H80" s="95"/>
      <c r="I80" s="114" t="s">
        <v>39</v>
      </c>
      <c r="J80" s="97"/>
    </row>
    <row r="81" ht="14.25" customHeight="1">
      <c r="A81" s="143">
        <v>79.0</v>
      </c>
      <c r="B81" s="99"/>
      <c r="C81" s="115" t="s">
        <v>53</v>
      </c>
      <c r="D81" s="59">
        <v>0.0</v>
      </c>
      <c r="E81" s="25" t="str">
        <f t="shared" si="4"/>
        <v>0</v>
      </c>
      <c r="F81" s="116">
        <v>1.0</v>
      </c>
      <c r="G81" s="117" t="s">
        <v>10</v>
      </c>
      <c r="H81" s="103"/>
      <c r="I81" s="118" t="s">
        <v>54</v>
      </c>
      <c r="J81" s="105"/>
    </row>
    <row r="82" ht="14.25" customHeight="1">
      <c r="A82" s="143">
        <v>80.0</v>
      </c>
      <c r="B82" s="106"/>
      <c r="C82" s="107" t="s">
        <v>30</v>
      </c>
      <c r="D82" s="64">
        <v>2.0</v>
      </c>
      <c r="E82" s="9" t="str">
        <f t="shared" si="4"/>
        <v>2</v>
      </c>
      <c r="F82" s="108">
        <v>1.0</v>
      </c>
      <c r="G82" s="109" t="s">
        <v>10</v>
      </c>
      <c r="H82" s="88"/>
      <c r="I82" s="110" t="s">
        <v>117</v>
      </c>
      <c r="J82" s="90"/>
    </row>
    <row r="83" ht="14.25" customHeight="1">
      <c r="A83" s="143">
        <v>81.0</v>
      </c>
      <c r="B83" s="98"/>
      <c r="C83" s="111" t="s">
        <v>32</v>
      </c>
      <c r="D83" s="69">
        <v>0.0</v>
      </c>
      <c r="E83" s="50" t="str">
        <f t="shared" si="4"/>
        <v>0</v>
      </c>
      <c r="F83" s="112">
        <v>1.0</v>
      </c>
      <c r="G83" s="113" t="s">
        <v>10</v>
      </c>
      <c r="H83" s="95"/>
      <c r="I83" s="114" t="s">
        <v>33</v>
      </c>
      <c r="J83" s="97"/>
    </row>
    <row r="84" ht="14.25" customHeight="1">
      <c r="A84" s="143">
        <v>82.0</v>
      </c>
      <c r="B84" s="98"/>
      <c r="C84" s="111" t="s">
        <v>34</v>
      </c>
      <c r="D84" s="49">
        <v>13.0</v>
      </c>
      <c r="E84" s="50" t="str">
        <f t="shared" si="4"/>
        <v>D</v>
      </c>
      <c r="F84" s="112">
        <v>2.0</v>
      </c>
      <c r="G84" s="113" t="s">
        <v>10</v>
      </c>
      <c r="H84" s="95"/>
      <c r="I84" s="114" t="s">
        <v>35</v>
      </c>
      <c r="J84" s="97"/>
    </row>
    <row r="85" ht="14.25" customHeight="1">
      <c r="A85" s="143">
        <v>83.0</v>
      </c>
      <c r="B85" s="98"/>
      <c r="C85" s="111" t="s">
        <v>36</v>
      </c>
      <c r="D85" s="49">
        <v>16.0</v>
      </c>
      <c r="E85" s="50" t="str">
        <f t="shared" si="4"/>
        <v>10</v>
      </c>
      <c r="F85" s="112">
        <v>1.0</v>
      </c>
      <c r="G85" s="113" t="s">
        <v>10</v>
      </c>
      <c r="H85" s="95"/>
      <c r="I85" s="114" t="s">
        <v>37</v>
      </c>
      <c r="J85" s="97"/>
    </row>
    <row r="86" ht="14.25" customHeight="1">
      <c r="A86" s="143">
        <v>84.0</v>
      </c>
      <c r="B86" s="98"/>
      <c r="C86" s="111" t="s">
        <v>38</v>
      </c>
      <c r="D86" s="49">
        <v>32.0</v>
      </c>
      <c r="E86" s="50" t="str">
        <f t="shared" si="4"/>
        <v>20</v>
      </c>
      <c r="F86" s="112">
        <v>1.0</v>
      </c>
      <c r="G86" s="113" t="s">
        <v>10</v>
      </c>
      <c r="H86" s="95"/>
      <c r="I86" s="114" t="s">
        <v>39</v>
      </c>
      <c r="J86" s="97"/>
    </row>
    <row r="87" ht="14.25" customHeight="1">
      <c r="A87" s="143">
        <v>85.0</v>
      </c>
      <c r="B87" s="99"/>
      <c r="C87" s="115" t="s">
        <v>53</v>
      </c>
      <c r="D87" s="59">
        <v>0.0</v>
      </c>
      <c r="E87" s="25" t="str">
        <f t="shared" si="4"/>
        <v>0</v>
      </c>
      <c r="F87" s="116">
        <v>1.0</v>
      </c>
      <c r="G87" s="117" t="s">
        <v>10</v>
      </c>
      <c r="H87" s="103"/>
      <c r="I87" s="118" t="s">
        <v>54</v>
      </c>
      <c r="J87" s="105"/>
    </row>
    <row r="88" ht="14.25" customHeight="1">
      <c r="A88" s="143">
        <v>86.0</v>
      </c>
      <c r="B88" s="106"/>
      <c r="C88" s="107" t="s">
        <v>30</v>
      </c>
      <c r="D88" s="64">
        <v>2.0</v>
      </c>
      <c r="E88" s="9" t="str">
        <f t="shared" si="4"/>
        <v>2</v>
      </c>
      <c r="F88" s="108">
        <v>1.0</v>
      </c>
      <c r="G88" s="109" t="s">
        <v>10</v>
      </c>
      <c r="H88" s="88"/>
      <c r="I88" s="110" t="s">
        <v>118</v>
      </c>
      <c r="J88" s="90"/>
    </row>
    <row r="89" ht="14.25" customHeight="1">
      <c r="A89" s="143">
        <v>87.0</v>
      </c>
      <c r="B89" s="98"/>
      <c r="C89" s="111" t="s">
        <v>32</v>
      </c>
      <c r="D89" s="69">
        <v>0.0</v>
      </c>
      <c r="E89" s="50" t="str">
        <f t="shared" si="4"/>
        <v>0</v>
      </c>
      <c r="F89" s="112">
        <v>1.0</v>
      </c>
      <c r="G89" s="113" t="s">
        <v>10</v>
      </c>
      <c r="H89" s="95"/>
      <c r="I89" s="114" t="s">
        <v>33</v>
      </c>
      <c r="J89" s="97"/>
    </row>
    <row r="90" ht="14.25" customHeight="1">
      <c r="A90" s="143">
        <v>88.0</v>
      </c>
      <c r="B90" s="98"/>
      <c r="C90" s="111" t="s">
        <v>34</v>
      </c>
      <c r="D90" s="49">
        <v>14.0</v>
      </c>
      <c r="E90" s="50" t="str">
        <f t="shared" si="4"/>
        <v>E</v>
      </c>
      <c r="F90" s="112">
        <v>2.0</v>
      </c>
      <c r="G90" s="113" t="s">
        <v>10</v>
      </c>
      <c r="H90" s="95"/>
      <c r="I90" s="114" t="s">
        <v>35</v>
      </c>
      <c r="J90" s="97"/>
    </row>
    <row r="91" ht="14.25" customHeight="1">
      <c r="A91" s="143">
        <v>89.0</v>
      </c>
      <c r="B91" s="98"/>
      <c r="C91" s="111" t="s">
        <v>36</v>
      </c>
      <c r="D91" s="49">
        <v>16.0</v>
      </c>
      <c r="E91" s="50" t="str">
        <f t="shared" si="4"/>
        <v>10</v>
      </c>
      <c r="F91" s="112">
        <v>1.0</v>
      </c>
      <c r="G91" s="113" t="s">
        <v>10</v>
      </c>
      <c r="H91" s="95"/>
      <c r="I91" s="114" t="s">
        <v>37</v>
      </c>
      <c r="J91" s="97"/>
    </row>
    <row r="92" ht="14.25" customHeight="1">
      <c r="A92" s="143">
        <v>90.0</v>
      </c>
      <c r="B92" s="98"/>
      <c r="C92" s="111" t="s">
        <v>38</v>
      </c>
      <c r="D92" s="49">
        <v>48.0</v>
      </c>
      <c r="E92" s="50" t="str">
        <f t="shared" si="4"/>
        <v>30</v>
      </c>
      <c r="F92" s="112">
        <v>1.0</v>
      </c>
      <c r="G92" s="113" t="s">
        <v>10</v>
      </c>
      <c r="H92" s="95"/>
      <c r="I92" s="114" t="s">
        <v>39</v>
      </c>
      <c r="J92" s="97"/>
    </row>
    <row r="93" ht="14.25" customHeight="1">
      <c r="A93" s="143">
        <v>91.0</v>
      </c>
      <c r="B93" s="99"/>
      <c r="C93" s="115" t="s">
        <v>53</v>
      </c>
      <c r="D93" s="59">
        <v>0.0</v>
      </c>
      <c r="E93" s="25" t="str">
        <f t="shared" si="4"/>
        <v>0</v>
      </c>
      <c r="F93" s="116">
        <v>1.0</v>
      </c>
      <c r="G93" s="117" t="s">
        <v>10</v>
      </c>
      <c r="H93" s="103"/>
      <c r="I93" s="118" t="s">
        <v>54</v>
      </c>
      <c r="J93" s="105"/>
    </row>
    <row r="94" ht="14.25" customHeight="1">
      <c r="A94" s="143">
        <v>92.0</v>
      </c>
      <c r="B94" s="119"/>
      <c r="C94" s="120" t="s">
        <v>56</v>
      </c>
      <c r="D94" s="64">
        <v>500.0</v>
      </c>
      <c r="E94" s="121" t="str">
        <f t="shared" si="4"/>
        <v>1F4</v>
      </c>
      <c r="F94" s="122">
        <v>2.0</v>
      </c>
      <c r="G94" s="10" t="s">
        <v>10</v>
      </c>
      <c r="H94" s="123"/>
      <c r="I94" s="120" t="s">
        <v>57</v>
      </c>
      <c r="J94" s="13"/>
    </row>
    <row r="95" ht="14.25" customHeight="1">
      <c r="A95" s="143">
        <v>93.0</v>
      </c>
      <c r="B95" s="124"/>
      <c r="C95" s="125" t="s">
        <v>58</v>
      </c>
      <c r="D95" s="126">
        <v>0.0</v>
      </c>
      <c r="E95" s="127" t="str">
        <f t="shared" si="4"/>
        <v>0</v>
      </c>
      <c r="F95" s="127">
        <v>1.0</v>
      </c>
      <c r="G95" s="33" t="s">
        <v>10</v>
      </c>
      <c r="H95" s="128"/>
      <c r="I95" s="129" t="s">
        <v>59</v>
      </c>
      <c r="J95" s="26"/>
    </row>
    <row r="96" ht="14.25" customHeight="1">
      <c r="A96" s="143">
        <v>94.0</v>
      </c>
      <c r="B96" s="131"/>
      <c r="C96" s="132" t="s">
        <v>60</v>
      </c>
      <c r="D96" s="133">
        <v>0.0</v>
      </c>
      <c r="E96" s="134" t="str">
        <f t="shared" si="4"/>
        <v>0</v>
      </c>
      <c r="F96" s="135">
        <v>1.0</v>
      </c>
      <c r="G96" s="33" t="s">
        <v>10</v>
      </c>
      <c r="H96" s="82"/>
      <c r="I96" s="136" t="s">
        <v>61</v>
      </c>
      <c r="J96" s="34"/>
    </row>
    <row r="97" ht="14.25" customHeight="1">
      <c r="B97" s="130"/>
      <c r="C97" s="130"/>
      <c r="D97" s="130"/>
      <c r="E97" s="130"/>
      <c r="F97" s="130"/>
      <c r="G97" s="130"/>
      <c r="H97" s="130"/>
      <c r="I97" s="130"/>
      <c r="J97" s="130"/>
    </row>
    <row r="98" ht="14.25" customHeight="1"/>
    <row r="99" ht="14.25" customHeight="1"/>
    <row r="100" ht="14.25" customHeight="1"/>
    <row r="101" ht="14.25" customHeight="1">
      <c r="C101" s="137" t="s">
        <v>62</v>
      </c>
      <c r="D101" s="138"/>
      <c r="E101" s="138"/>
      <c r="F101" s="139">
        <f>SUM(F4:F100)</f>
        <v>112</v>
      </c>
    </row>
    <row r="102" ht="14.25" customHeight="1">
      <c r="C102" s="22" t="s">
        <v>63</v>
      </c>
      <c r="D102" s="140"/>
      <c r="E102" s="140"/>
      <c r="F102" s="141">
        <f> F101/2</f>
        <v>56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>
      <c r="E123" s="37"/>
    </row>
    <row r="124" ht="14.25" customHeight="1">
      <c r="E124" s="37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3.71"/>
    <col customWidth="1" min="3" max="3" width="30.71"/>
    <col customWidth="1" min="4" max="5" width="6.57"/>
    <col customWidth="1" min="6" max="6" width="8.14"/>
    <col customWidth="1" min="7" max="7" width="6.0"/>
    <col customWidth="1" min="8" max="8" width="3.71"/>
    <col customWidth="1" min="9" max="9" width="109.0"/>
    <col customWidth="1" min="10" max="10" width="4.43"/>
    <col customWidth="1" min="11" max="26" width="9.14"/>
  </cols>
  <sheetData>
    <row r="1" ht="14.25" customHeight="1">
      <c r="A1" s="1" t="s">
        <v>0</v>
      </c>
      <c r="B1" s="2"/>
      <c r="C1" s="142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/>
      <c r="I1" s="2" t="s">
        <v>6</v>
      </c>
      <c r="J1" s="3"/>
    </row>
    <row r="2" ht="14.25" customHeight="1">
      <c r="A2" s="143" t="s">
        <v>7</v>
      </c>
      <c r="B2" s="5"/>
      <c r="C2" s="6" t="s">
        <v>8</v>
      </c>
      <c r="D2" s="7">
        <v>56.0</v>
      </c>
      <c r="E2" s="8"/>
      <c r="F2" s="9" t="s">
        <v>9</v>
      </c>
      <c r="G2" s="10" t="s">
        <v>10</v>
      </c>
      <c r="H2" s="11"/>
      <c r="I2" s="12" t="s">
        <v>11</v>
      </c>
      <c r="J2" s="13"/>
    </row>
    <row r="3" ht="14.25" customHeight="1">
      <c r="A3" s="143">
        <v>1.0</v>
      </c>
      <c r="B3" s="15"/>
      <c r="C3" s="16" t="s">
        <v>12</v>
      </c>
      <c r="D3" s="17" t="s">
        <v>13</v>
      </c>
      <c r="E3" s="18"/>
      <c r="F3" s="18"/>
      <c r="G3" s="18"/>
      <c r="H3" s="19"/>
      <c r="I3" s="20" t="s">
        <v>14</v>
      </c>
      <c r="J3" s="21"/>
    </row>
    <row r="4" ht="14.25" customHeight="1">
      <c r="A4" s="143">
        <v>2.0</v>
      </c>
      <c r="B4" s="22"/>
      <c r="C4" s="23" t="s">
        <v>15</v>
      </c>
      <c r="D4" s="24">
        <v>1.0</v>
      </c>
      <c r="E4" s="25" t="str">
        <f t="shared" ref="E4:E5" si="1"> DEC2HEX(D4)</f>
        <v>1</v>
      </c>
      <c r="F4" s="25">
        <v>1.0</v>
      </c>
      <c r="G4" s="10" t="s">
        <v>10</v>
      </c>
      <c r="H4" s="26"/>
      <c r="I4" s="27" t="s">
        <v>119</v>
      </c>
      <c r="J4" s="28"/>
    </row>
    <row r="5" ht="14.25" customHeight="1">
      <c r="A5" s="143">
        <v>3.0</v>
      </c>
      <c r="B5" s="29"/>
      <c r="C5" s="30" t="s">
        <v>17</v>
      </c>
      <c r="D5" s="31">
        <v>2.0</v>
      </c>
      <c r="E5" s="25" t="str">
        <f t="shared" si="1"/>
        <v>2</v>
      </c>
      <c r="F5" s="32">
        <v>1.0</v>
      </c>
      <c r="G5" s="33" t="s">
        <v>10</v>
      </c>
      <c r="H5" s="34"/>
      <c r="I5" s="35" t="s">
        <v>120</v>
      </c>
      <c r="J5" s="34"/>
    </row>
    <row r="6" ht="14.25" customHeight="1">
      <c r="A6" s="143">
        <v>4.0</v>
      </c>
      <c r="B6" s="38"/>
      <c r="C6" s="39" t="s">
        <v>19</v>
      </c>
      <c r="D6" s="40" t="s">
        <v>66</v>
      </c>
      <c r="E6" s="41">
        <v>288.0</v>
      </c>
      <c r="F6" s="42">
        <v>2.0</v>
      </c>
      <c r="G6" s="43" t="s">
        <v>10</v>
      </c>
      <c r="H6" s="44"/>
      <c r="I6" s="45" t="s">
        <v>121</v>
      </c>
      <c r="J6" s="46"/>
    </row>
    <row r="7" ht="14.25" customHeight="1">
      <c r="A7" s="143">
        <v>5.0</v>
      </c>
      <c r="B7" s="47"/>
      <c r="C7" s="48" t="s">
        <v>22</v>
      </c>
      <c r="D7" s="49">
        <v>5.0</v>
      </c>
      <c r="E7" s="50" t="str">
        <f t="shared" ref="E7:E34" si="2"> DEC2HEX(D7)</f>
        <v>5</v>
      </c>
      <c r="F7" s="51">
        <v>2.0</v>
      </c>
      <c r="G7" s="52" t="s">
        <v>10</v>
      </c>
      <c r="H7" s="53"/>
      <c r="I7" s="54" t="s">
        <v>23</v>
      </c>
      <c r="J7" s="55"/>
    </row>
    <row r="8" ht="14.25" customHeight="1">
      <c r="A8" s="143">
        <v>6.0</v>
      </c>
      <c r="B8" s="47"/>
      <c r="C8" s="48" t="s">
        <v>24</v>
      </c>
      <c r="D8" s="49">
        <v>8.0</v>
      </c>
      <c r="E8" s="50" t="str">
        <f t="shared" si="2"/>
        <v>8</v>
      </c>
      <c r="F8" s="51">
        <v>1.0</v>
      </c>
      <c r="G8" s="52" t="s">
        <v>10</v>
      </c>
      <c r="H8" s="53"/>
      <c r="I8" s="54" t="s">
        <v>25</v>
      </c>
      <c r="J8" s="55"/>
    </row>
    <row r="9" ht="14.25" customHeight="1">
      <c r="A9" s="143">
        <v>7.0</v>
      </c>
      <c r="B9" s="47"/>
      <c r="C9" s="56" t="s">
        <v>26</v>
      </c>
      <c r="D9" s="49">
        <v>0.0</v>
      </c>
      <c r="E9" s="50" t="str">
        <f t="shared" si="2"/>
        <v>0</v>
      </c>
      <c r="F9" s="51">
        <v>1.0</v>
      </c>
      <c r="G9" s="52" t="s">
        <v>10</v>
      </c>
      <c r="H9" s="53"/>
      <c r="I9" s="57" t="s">
        <v>27</v>
      </c>
      <c r="J9" s="55"/>
    </row>
    <row r="10" ht="14.25" customHeight="1">
      <c r="A10" s="143">
        <v>8.0</v>
      </c>
      <c r="B10" s="47"/>
      <c r="C10" s="58" t="s">
        <v>28</v>
      </c>
      <c r="D10" s="59">
        <v>4.0</v>
      </c>
      <c r="E10" s="25" t="str">
        <f t="shared" si="2"/>
        <v>4</v>
      </c>
      <c r="F10" s="60">
        <v>1.0</v>
      </c>
      <c r="G10" s="61" t="s">
        <v>10</v>
      </c>
      <c r="H10" s="53"/>
      <c r="I10" s="62" t="s">
        <v>29</v>
      </c>
      <c r="J10" s="55"/>
    </row>
    <row r="11" ht="14.25" customHeight="1">
      <c r="A11" s="143">
        <v>9.0</v>
      </c>
      <c r="B11" s="47"/>
      <c r="C11" s="63" t="s">
        <v>30</v>
      </c>
      <c r="D11" s="64">
        <v>2.0</v>
      </c>
      <c r="E11" s="9" t="str">
        <f t="shared" si="2"/>
        <v>2</v>
      </c>
      <c r="F11" s="65">
        <v>1.0</v>
      </c>
      <c r="G11" s="66" t="s">
        <v>10</v>
      </c>
      <c r="H11" s="53"/>
      <c r="I11" s="67" t="s">
        <v>122</v>
      </c>
      <c r="J11" s="55"/>
    </row>
    <row r="12" ht="14.25" customHeight="1">
      <c r="A12" s="143">
        <v>10.0</v>
      </c>
      <c r="B12" s="47"/>
      <c r="C12" s="68" t="s">
        <v>32</v>
      </c>
      <c r="D12" s="69">
        <v>0.0</v>
      </c>
      <c r="E12" s="50" t="str">
        <f t="shared" si="2"/>
        <v>0</v>
      </c>
      <c r="F12" s="70">
        <v>1.0</v>
      </c>
      <c r="G12" s="52" t="s">
        <v>10</v>
      </c>
      <c r="H12" s="53"/>
      <c r="I12" s="71" t="s">
        <v>33</v>
      </c>
      <c r="J12" s="55"/>
    </row>
    <row r="13" ht="14.25" customHeight="1">
      <c r="A13" s="143">
        <v>11.0</v>
      </c>
      <c r="B13" s="47"/>
      <c r="C13" s="68" t="s">
        <v>34</v>
      </c>
      <c r="D13" s="49">
        <v>3.0</v>
      </c>
      <c r="E13" s="50" t="str">
        <f t="shared" si="2"/>
        <v>3</v>
      </c>
      <c r="F13" s="70">
        <v>2.0</v>
      </c>
      <c r="G13" s="52" t="s">
        <v>10</v>
      </c>
      <c r="H13" s="53"/>
      <c r="I13" s="72" t="s">
        <v>35</v>
      </c>
      <c r="J13" s="55"/>
    </row>
    <row r="14" ht="14.25" customHeight="1">
      <c r="A14" s="143">
        <v>12.0</v>
      </c>
      <c r="B14" s="47"/>
      <c r="C14" s="68" t="s">
        <v>36</v>
      </c>
      <c r="D14" s="49">
        <v>16.0</v>
      </c>
      <c r="E14" s="50" t="str">
        <f t="shared" si="2"/>
        <v>10</v>
      </c>
      <c r="F14" s="70">
        <v>1.0</v>
      </c>
      <c r="G14" s="52" t="s">
        <v>10</v>
      </c>
      <c r="H14" s="53"/>
      <c r="I14" s="71" t="s">
        <v>37</v>
      </c>
      <c r="J14" s="55"/>
    </row>
    <row r="15" ht="14.25" customHeight="1">
      <c r="A15" s="143">
        <v>13.0</v>
      </c>
      <c r="B15" s="47"/>
      <c r="C15" s="68" t="s">
        <v>38</v>
      </c>
      <c r="D15" s="49">
        <v>0.0</v>
      </c>
      <c r="E15" s="50" t="str">
        <f t="shared" si="2"/>
        <v>0</v>
      </c>
      <c r="F15" s="70">
        <v>1.0</v>
      </c>
      <c r="G15" s="52" t="s">
        <v>10</v>
      </c>
      <c r="H15" s="53"/>
      <c r="I15" s="72" t="s">
        <v>39</v>
      </c>
      <c r="J15" s="55"/>
    </row>
    <row r="16" ht="14.25" customHeight="1">
      <c r="A16" s="143">
        <v>14.0</v>
      </c>
      <c r="B16" s="73"/>
      <c r="C16" s="74" t="s">
        <v>40</v>
      </c>
      <c r="D16" s="59">
        <v>0.0</v>
      </c>
      <c r="E16" s="25" t="str">
        <f t="shared" si="2"/>
        <v>0</v>
      </c>
      <c r="F16" s="75">
        <v>1.0</v>
      </c>
      <c r="G16" s="76" t="s">
        <v>10</v>
      </c>
      <c r="H16" s="77"/>
      <c r="I16" s="78" t="s">
        <v>41</v>
      </c>
      <c r="J16" s="79"/>
    </row>
    <row r="17" ht="14.25" customHeight="1">
      <c r="A17" s="143">
        <v>15.0</v>
      </c>
      <c r="B17" s="38"/>
      <c r="C17" s="63" t="s">
        <v>30</v>
      </c>
      <c r="D17" s="64">
        <v>2.0</v>
      </c>
      <c r="E17" s="9" t="str">
        <f t="shared" si="2"/>
        <v>2</v>
      </c>
      <c r="F17" s="65">
        <v>1.0</v>
      </c>
      <c r="G17" s="66" t="s">
        <v>10</v>
      </c>
      <c r="H17" s="44"/>
      <c r="I17" s="67" t="s">
        <v>123</v>
      </c>
      <c r="J17" s="46"/>
    </row>
    <row r="18" ht="14.25" customHeight="1">
      <c r="A18" s="143">
        <v>16.0</v>
      </c>
      <c r="B18" s="47"/>
      <c r="C18" s="68" t="s">
        <v>32</v>
      </c>
      <c r="D18" s="69">
        <v>0.0</v>
      </c>
      <c r="E18" s="50" t="str">
        <f t="shared" si="2"/>
        <v>0</v>
      </c>
      <c r="F18" s="70">
        <v>1.0</v>
      </c>
      <c r="G18" s="52" t="s">
        <v>10</v>
      </c>
      <c r="H18" s="53"/>
      <c r="I18" s="71" t="s">
        <v>33</v>
      </c>
      <c r="J18" s="55"/>
    </row>
    <row r="19" ht="14.25" customHeight="1">
      <c r="A19" s="143">
        <v>17.0</v>
      </c>
      <c r="B19" s="47"/>
      <c r="C19" s="68" t="s">
        <v>34</v>
      </c>
      <c r="D19" s="49">
        <v>5.0</v>
      </c>
      <c r="E19" s="50" t="str">
        <f t="shared" si="2"/>
        <v>5</v>
      </c>
      <c r="F19" s="70">
        <v>2.0</v>
      </c>
      <c r="G19" s="52" t="s">
        <v>10</v>
      </c>
      <c r="H19" s="53"/>
      <c r="I19" s="72" t="s">
        <v>35</v>
      </c>
      <c r="J19" s="55"/>
    </row>
    <row r="20" ht="14.25" customHeight="1">
      <c r="A20" s="143">
        <v>18.0</v>
      </c>
      <c r="B20" s="47"/>
      <c r="C20" s="68" t="s">
        <v>36</v>
      </c>
      <c r="D20" s="49">
        <v>16.0</v>
      </c>
      <c r="E20" s="50" t="str">
        <f t="shared" si="2"/>
        <v>10</v>
      </c>
      <c r="F20" s="70">
        <v>1.0</v>
      </c>
      <c r="G20" s="52" t="s">
        <v>10</v>
      </c>
      <c r="H20" s="53"/>
      <c r="I20" s="71" t="s">
        <v>37</v>
      </c>
      <c r="J20" s="55"/>
    </row>
    <row r="21" ht="14.25" customHeight="1">
      <c r="A21" s="143">
        <v>19.0</v>
      </c>
      <c r="B21" s="47"/>
      <c r="C21" s="68" t="s">
        <v>38</v>
      </c>
      <c r="D21" s="49">
        <v>16.0</v>
      </c>
      <c r="E21" s="50" t="str">
        <f t="shared" si="2"/>
        <v>10</v>
      </c>
      <c r="F21" s="70">
        <v>1.0</v>
      </c>
      <c r="G21" s="52" t="s">
        <v>10</v>
      </c>
      <c r="H21" s="53"/>
      <c r="I21" s="72" t="s">
        <v>39</v>
      </c>
      <c r="J21" s="55"/>
    </row>
    <row r="22" ht="14.25" customHeight="1">
      <c r="A22" s="143">
        <v>20.0</v>
      </c>
      <c r="B22" s="73"/>
      <c r="C22" s="74" t="s">
        <v>40</v>
      </c>
      <c r="D22" s="59">
        <v>2.0</v>
      </c>
      <c r="E22" s="25" t="str">
        <f t="shared" si="2"/>
        <v>2</v>
      </c>
      <c r="F22" s="75">
        <v>1.0</v>
      </c>
      <c r="G22" s="76" t="s">
        <v>10</v>
      </c>
      <c r="H22" s="77"/>
      <c r="I22" s="78" t="s">
        <v>41</v>
      </c>
      <c r="J22" s="79"/>
    </row>
    <row r="23" ht="14.25" customHeight="1">
      <c r="A23" s="143">
        <v>21.0</v>
      </c>
      <c r="B23" s="38"/>
      <c r="C23" s="63" t="s">
        <v>30</v>
      </c>
      <c r="D23" s="64">
        <v>2.0</v>
      </c>
      <c r="E23" s="9" t="str">
        <f t="shared" si="2"/>
        <v>2</v>
      </c>
      <c r="F23" s="65">
        <v>1.0</v>
      </c>
      <c r="G23" s="66" t="s">
        <v>10</v>
      </c>
      <c r="H23" s="44"/>
      <c r="I23" s="67" t="s">
        <v>124</v>
      </c>
      <c r="J23" s="46"/>
    </row>
    <row r="24" ht="14.25" customHeight="1">
      <c r="A24" s="143">
        <v>22.0</v>
      </c>
      <c r="B24" s="47"/>
      <c r="C24" s="68" t="s">
        <v>32</v>
      </c>
      <c r="D24" s="69">
        <v>0.0</v>
      </c>
      <c r="E24" s="50" t="str">
        <f t="shared" si="2"/>
        <v>0</v>
      </c>
      <c r="F24" s="70">
        <v>1.0</v>
      </c>
      <c r="G24" s="52" t="s">
        <v>10</v>
      </c>
      <c r="H24" s="53"/>
      <c r="I24" s="71" t="s">
        <v>33</v>
      </c>
      <c r="J24" s="55"/>
    </row>
    <row r="25" ht="14.25" customHeight="1">
      <c r="A25" s="143">
        <v>23.0</v>
      </c>
      <c r="B25" s="47"/>
      <c r="C25" s="68" t="s">
        <v>34</v>
      </c>
      <c r="D25" s="49">
        <v>25.0</v>
      </c>
      <c r="E25" s="50" t="str">
        <f t="shared" si="2"/>
        <v>19</v>
      </c>
      <c r="F25" s="70">
        <v>2.0</v>
      </c>
      <c r="G25" s="52" t="s">
        <v>10</v>
      </c>
      <c r="H25" s="53"/>
      <c r="I25" s="72" t="s">
        <v>35</v>
      </c>
      <c r="J25" s="55"/>
    </row>
    <row r="26" ht="14.25" customHeight="1">
      <c r="A26" s="143">
        <v>24.0</v>
      </c>
      <c r="B26" s="47"/>
      <c r="C26" s="68" t="s">
        <v>36</v>
      </c>
      <c r="D26" s="49">
        <v>16.0</v>
      </c>
      <c r="E26" s="50" t="str">
        <f t="shared" si="2"/>
        <v>10</v>
      </c>
      <c r="F26" s="70">
        <v>1.0</v>
      </c>
      <c r="G26" s="52" t="s">
        <v>10</v>
      </c>
      <c r="H26" s="53"/>
      <c r="I26" s="71" t="s">
        <v>37</v>
      </c>
      <c r="J26" s="55"/>
    </row>
    <row r="27" ht="14.25" customHeight="1">
      <c r="A27" s="143">
        <v>25.0</v>
      </c>
      <c r="B27" s="47"/>
      <c r="C27" s="68" t="s">
        <v>38</v>
      </c>
      <c r="D27" s="49">
        <v>32.0</v>
      </c>
      <c r="E27" s="50" t="str">
        <f t="shared" si="2"/>
        <v>20</v>
      </c>
      <c r="F27" s="70">
        <v>1.0</v>
      </c>
      <c r="G27" s="52" t="s">
        <v>10</v>
      </c>
      <c r="H27" s="53"/>
      <c r="I27" s="72" t="s">
        <v>39</v>
      </c>
      <c r="J27" s="55"/>
    </row>
    <row r="28" ht="14.25" customHeight="1">
      <c r="A28" s="143">
        <v>26.0</v>
      </c>
      <c r="B28" s="73"/>
      <c r="C28" s="74" t="s">
        <v>40</v>
      </c>
      <c r="D28" s="59">
        <v>2.0</v>
      </c>
      <c r="E28" s="25" t="str">
        <f t="shared" si="2"/>
        <v>2</v>
      </c>
      <c r="F28" s="75">
        <v>1.0</v>
      </c>
      <c r="G28" s="76" t="s">
        <v>10</v>
      </c>
      <c r="H28" s="77"/>
      <c r="I28" s="78" t="s">
        <v>41</v>
      </c>
      <c r="J28" s="79"/>
    </row>
    <row r="29" ht="14.25" customHeight="1">
      <c r="A29" s="143">
        <v>27.0</v>
      </c>
      <c r="B29" s="38"/>
      <c r="C29" s="63" t="s">
        <v>30</v>
      </c>
      <c r="D29" s="64">
        <v>2.0</v>
      </c>
      <c r="E29" s="9" t="str">
        <f t="shared" si="2"/>
        <v>2</v>
      </c>
      <c r="F29" s="65">
        <v>1.0</v>
      </c>
      <c r="G29" s="66" t="s">
        <v>10</v>
      </c>
      <c r="H29" s="44"/>
      <c r="I29" s="67" t="s">
        <v>125</v>
      </c>
      <c r="J29" s="46"/>
    </row>
    <row r="30" ht="14.25" customHeight="1">
      <c r="A30" s="143">
        <v>28.0</v>
      </c>
      <c r="B30" s="47"/>
      <c r="C30" s="68" t="s">
        <v>32</v>
      </c>
      <c r="D30" s="69">
        <v>0.0</v>
      </c>
      <c r="E30" s="50" t="str">
        <f t="shared" si="2"/>
        <v>0</v>
      </c>
      <c r="F30" s="70">
        <v>1.0</v>
      </c>
      <c r="G30" s="52" t="s">
        <v>10</v>
      </c>
      <c r="H30" s="53"/>
      <c r="I30" s="71" t="s">
        <v>33</v>
      </c>
      <c r="J30" s="55"/>
    </row>
    <row r="31" ht="14.25" customHeight="1">
      <c r="A31" s="143">
        <v>29.0</v>
      </c>
      <c r="B31" s="47"/>
      <c r="C31" s="68" t="s">
        <v>34</v>
      </c>
      <c r="D31" s="49">
        <v>26.0</v>
      </c>
      <c r="E31" s="50" t="str">
        <f t="shared" si="2"/>
        <v>1A</v>
      </c>
      <c r="F31" s="70">
        <v>2.0</v>
      </c>
      <c r="G31" s="52" t="s">
        <v>10</v>
      </c>
      <c r="H31" s="53"/>
      <c r="I31" s="72" t="s">
        <v>35</v>
      </c>
      <c r="J31" s="55"/>
    </row>
    <row r="32" ht="14.25" customHeight="1">
      <c r="A32" s="143">
        <v>30.0</v>
      </c>
      <c r="B32" s="47"/>
      <c r="C32" s="68" t="s">
        <v>36</v>
      </c>
      <c r="D32" s="49">
        <v>16.0</v>
      </c>
      <c r="E32" s="50" t="str">
        <f t="shared" si="2"/>
        <v>10</v>
      </c>
      <c r="F32" s="70">
        <v>1.0</v>
      </c>
      <c r="G32" s="52" t="s">
        <v>10</v>
      </c>
      <c r="H32" s="53"/>
      <c r="I32" s="71" t="s">
        <v>37</v>
      </c>
      <c r="J32" s="55"/>
    </row>
    <row r="33" ht="14.25" customHeight="1">
      <c r="A33" s="143">
        <v>31.0</v>
      </c>
      <c r="B33" s="47"/>
      <c r="C33" s="68" t="s">
        <v>38</v>
      </c>
      <c r="D33" s="49">
        <v>48.0</v>
      </c>
      <c r="E33" s="50" t="str">
        <f t="shared" si="2"/>
        <v>30</v>
      </c>
      <c r="F33" s="70">
        <v>1.0</v>
      </c>
      <c r="G33" s="52" t="s">
        <v>10</v>
      </c>
      <c r="H33" s="53"/>
      <c r="I33" s="72" t="s">
        <v>39</v>
      </c>
      <c r="J33" s="55"/>
    </row>
    <row r="34" ht="14.25" customHeight="1">
      <c r="A34" s="143">
        <v>32.0</v>
      </c>
      <c r="B34" s="73"/>
      <c r="C34" s="74" t="s">
        <v>40</v>
      </c>
      <c r="D34" s="59">
        <v>2.0</v>
      </c>
      <c r="E34" s="25" t="str">
        <f t="shared" si="2"/>
        <v>2</v>
      </c>
      <c r="F34" s="75">
        <v>1.0</v>
      </c>
      <c r="G34" s="76" t="s">
        <v>10</v>
      </c>
      <c r="H34" s="77"/>
      <c r="I34" s="78" t="s">
        <v>41</v>
      </c>
      <c r="J34" s="79"/>
    </row>
    <row r="35" ht="14.25" customHeight="1">
      <c r="A35" s="143">
        <v>33.0</v>
      </c>
      <c r="B35" s="38"/>
      <c r="C35" s="39" t="s">
        <v>19</v>
      </c>
      <c r="D35" s="40" t="s">
        <v>66</v>
      </c>
      <c r="E35" s="41">
        <v>290.0</v>
      </c>
      <c r="F35" s="42">
        <v>2.0</v>
      </c>
      <c r="G35" s="43" t="s">
        <v>10</v>
      </c>
      <c r="H35" s="44"/>
      <c r="I35" s="45" t="s">
        <v>126</v>
      </c>
      <c r="J35" s="46"/>
    </row>
    <row r="36" ht="14.25" customHeight="1">
      <c r="A36" s="143">
        <v>34.0</v>
      </c>
      <c r="B36" s="47"/>
      <c r="C36" s="48" t="s">
        <v>22</v>
      </c>
      <c r="D36" s="49">
        <v>5.0</v>
      </c>
      <c r="E36" s="50" t="str">
        <f t="shared" ref="E36:E64" si="3"> DEC2HEX(D36)</f>
        <v>5</v>
      </c>
      <c r="F36" s="51">
        <v>2.0</v>
      </c>
      <c r="G36" s="52" t="s">
        <v>10</v>
      </c>
      <c r="H36" s="53"/>
      <c r="I36" s="54" t="s">
        <v>23</v>
      </c>
      <c r="J36" s="55"/>
    </row>
    <row r="37" ht="14.25" customHeight="1">
      <c r="A37" s="143">
        <v>35.0</v>
      </c>
      <c r="B37" s="47"/>
      <c r="C37" s="48" t="s">
        <v>24</v>
      </c>
      <c r="D37" s="49">
        <v>8.0</v>
      </c>
      <c r="E37" s="50" t="str">
        <f t="shared" si="3"/>
        <v>8</v>
      </c>
      <c r="F37" s="51">
        <v>1.0</v>
      </c>
      <c r="G37" s="52" t="s">
        <v>10</v>
      </c>
      <c r="H37" s="53"/>
      <c r="I37" s="54" t="s">
        <v>25</v>
      </c>
      <c r="J37" s="55"/>
    </row>
    <row r="38" ht="14.25" customHeight="1">
      <c r="A38" s="143">
        <v>36.0</v>
      </c>
      <c r="B38" s="47"/>
      <c r="C38" s="56" t="s">
        <v>26</v>
      </c>
      <c r="D38" s="49">
        <v>0.0</v>
      </c>
      <c r="E38" s="50" t="str">
        <f t="shared" si="3"/>
        <v>0</v>
      </c>
      <c r="F38" s="51">
        <v>1.0</v>
      </c>
      <c r="G38" s="52" t="s">
        <v>10</v>
      </c>
      <c r="H38" s="53"/>
      <c r="I38" s="57" t="s">
        <v>27</v>
      </c>
      <c r="J38" s="55"/>
    </row>
    <row r="39" ht="14.25" customHeight="1">
      <c r="A39" s="143">
        <v>37.0</v>
      </c>
      <c r="B39" s="47"/>
      <c r="C39" s="58" t="s">
        <v>28</v>
      </c>
      <c r="D39" s="59">
        <v>4.0</v>
      </c>
      <c r="E39" s="25" t="str">
        <f t="shared" si="3"/>
        <v>4</v>
      </c>
      <c r="F39" s="60">
        <v>1.0</v>
      </c>
      <c r="G39" s="61" t="s">
        <v>10</v>
      </c>
      <c r="H39" s="53"/>
      <c r="I39" s="62" t="s">
        <v>29</v>
      </c>
      <c r="J39" s="55"/>
    </row>
    <row r="40" ht="14.25" customHeight="1">
      <c r="A40" s="143">
        <v>38.0</v>
      </c>
      <c r="B40" s="47"/>
      <c r="C40" s="63" t="s">
        <v>30</v>
      </c>
      <c r="D40" s="64">
        <v>2.0</v>
      </c>
      <c r="E40" s="9" t="str">
        <f t="shared" si="3"/>
        <v>2</v>
      </c>
      <c r="F40" s="65">
        <v>1.0</v>
      </c>
      <c r="G40" s="66" t="s">
        <v>10</v>
      </c>
      <c r="H40" s="53"/>
      <c r="I40" s="67" t="s">
        <v>127</v>
      </c>
      <c r="J40" s="55"/>
    </row>
    <row r="41" ht="14.25" customHeight="1">
      <c r="A41" s="143">
        <v>39.0</v>
      </c>
      <c r="B41" s="47"/>
      <c r="C41" s="68" t="s">
        <v>32</v>
      </c>
      <c r="D41" s="69">
        <v>0.0</v>
      </c>
      <c r="E41" s="50" t="str">
        <f t="shared" si="3"/>
        <v>0</v>
      </c>
      <c r="F41" s="70">
        <v>1.0</v>
      </c>
      <c r="G41" s="52" t="s">
        <v>10</v>
      </c>
      <c r="H41" s="53"/>
      <c r="I41" s="71" t="s">
        <v>33</v>
      </c>
      <c r="J41" s="55"/>
    </row>
    <row r="42" ht="14.25" customHeight="1">
      <c r="A42" s="143">
        <v>40.0</v>
      </c>
      <c r="B42" s="47"/>
      <c r="C42" s="68" t="s">
        <v>34</v>
      </c>
      <c r="D42" s="49">
        <v>7.0</v>
      </c>
      <c r="E42" s="50" t="str">
        <f t="shared" si="3"/>
        <v>7</v>
      </c>
      <c r="F42" s="70">
        <v>2.0</v>
      </c>
      <c r="G42" s="52" t="s">
        <v>10</v>
      </c>
      <c r="H42" s="53"/>
      <c r="I42" s="72" t="s">
        <v>35</v>
      </c>
      <c r="J42" s="55"/>
    </row>
    <row r="43" ht="14.25" customHeight="1">
      <c r="A43" s="143">
        <v>41.0</v>
      </c>
      <c r="B43" s="47"/>
      <c r="C43" s="68" t="s">
        <v>36</v>
      </c>
      <c r="D43" s="49">
        <v>16.0</v>
      </c>
      <c r="E43" s="50" t="str">
        <f t="shared" si="3"/>
        <v>10</v>
      </c>
      <c r="F43" s="70">
        <v>1.0</v>
      </c>
      <c r="G43" s="52" t="s">
        <v>10</v>
      </c>
      <c r="H43" s="53"/>
      <c r="I43" s="71" t="s">
        <v>37</v>
      </c>
      <c r="J43" s="55"/>
    </row>
    <row r="44" ht="14.25" customHeight="1">
      <c r="A44" s="143">
        <v>42.0</v>
      </c>
      <c r="B44" s="47"/>
      <c r="C44" s="68" t="s">
        <v>38</v>
      </c>
      <c r="D44" s="49">
        <v>0.0</v>
      </c>
      <c r="E44" s="50" t="str">
        <f t="shared" si="3"/>
        <v>0</v>
      </c>
      <c r="F44" s="70">
        <v>1.0</v>
      </c>
      <c r="G44" s="52" t="s">
        <v>10</v>
      </c>
      <c r="H44" s="53"/>
      <c r="I44" s="72" t="s">
        <v>39</v>
      </c>
      <c r="J44" s="55"/>
    </row>
    <row r="45" ht="14.25" customHeight="1">
      <c r="A45" s="143">
        <v>43.0</v>
      </c>
      <c r="B45" s="73"/>
      <c r="C45" s="74" t="s">
        <v>40</v>
      </c>
      <c r="D45" s="59">
        <v>2.0</v>
      </c>
      <c r="E45" s="25" t="str">
        <f t="shared" si="3"/>
        <v>2</v>
      </c>
      <c r="F45" s="75">
        <v>1.0</v>
      </c>
      <c r="G45" s="76" t="s">
        <v>10</v>
      </c>
      <c r="H45" s="77"/>
      <c r="I45" s="78" t="s">
        <v>41</v>
      </c>
      <c r="J45" s="79"/>
    </row>
    <row r="46" ht="14.25" customHeight="1">
      <c r="A46" s="143">
        <v>44.0</v>
      </c>
      <c r="B46" s="38"/>
      <c r="C46" s="63" t="s">
        <v>30</v>
      </c>
      <c r="D46" s="64">
        <v>2.0</v>
      </c>
      <c r="E46" s="9" t="str">
        <f t="shared" si="3"/>
        <v>2</v>
      </c>
      <c r="F46" s="65">
        <v>1.0</v>
      </c>
      <c r="G46" s="66" t="s">
        <v>10</v>
      </c>
      <c r="H46" s="44"/>
      <c r="I46" s="67" t="s">
        <v>128</v>
      </c>
      <c r="J46" s="46"/>
    </row>
    <row r="47" ht="14.25" customHeight="1">
      <c r="A47" s="143">
        <v>45.0</v>
      </c>
      <c r="B47" s="47"/>
      <c r="C47" s="68" t="s">
        <v>32</v>
      </c>
      <c r="D47" s="69">
        <v>0.0</v>
      </c>
      <c r="E47" s="50" t="str">
        <f t="shared" si="3"/>
        <v>0</v>
      </c>
      <c r="F47" s="70">
        <v>1.0</v>
      </c>
      <c r="G47" s="52" t="s">
        <v>10</v>
      </c>
      <c r="H47" s="53"/>
      <c r="I47" s="71" t="s">
        <v>33</v>
      </c>
      <c r="J47" s="55"/>
    </row>
    <row r="48" ht="14.25" customHeight="1">
      <c r="A48" s="143">
        <v>46.0</v>
      </c>
      <c r="B48" s="47"/>
      <c r="C48" s="68" t="s">
        <v>34</v>
      </c>
      <c r="D48" s="49">
        <v>8.0</v>
      </c>
      <c r="E48" s="50" t="str">
        <f t="shared" si="3"/>
        <v>8</v>
      </c>
      <c r="F48" s="70">
        <v>2.0</v>
      </c>
      <c r="G48" s="52" t="s">
        <v>10</v>
      </c>
      <c r="H48" s="53"/>
      <c r="I48" s="72" t="s">
        <v>35</v>
      </c>
      <c r="J48" s="55"/>
    </row>
    <row r="49" ht="14.25" customHeight="1">
      <c r="A49" s="143">
        <v>47.0</v>
      </c>
      <c r="B49" s="47"/>
      <c r="C49" s="68" t="s">
        <v>36</v>
      </c>
      <c r="D49" s="49">
        <v>16.0</v>
      </c>
      <c r="E49" s="50" t="str">
        <f t="shared" si="3"/>
        <v>10</v>
      </c>
      <c r="F49" s="70">
        <v>1.0</v>
      </c>
      <c r="G49" s="52" t="s">
        <v>10</v>
      </c>
      <c r="H49" s="53"/>
      <c r="I49" s="71" t="s">
        <v>37</v>
      </c>
      <c r="J49" s="55"/>
    </row>
    <row r="50" ht="14.25" customHeight="1">
      <c r="A50" s="143">
        <v>48.0</v>
      </c>
      <c r="B50" s="47"/>
      <c r="C50" s="68" t="s">
        <v>38</v>
      </c>
      <c r="D50" s="49">
        <v>16.0</v>
      </c>
      <c r="E50" s="50" t="str">
        <f t="shared" si="3"/>
        <v>10</v>
      </c>
      <c r="F50" s="70">
        <v>1.0</v>
      </c>
      <c r="G50" s="52" t="s">
        <v>10</v>
      </c>
      <c r="H50" s="53"/>
      <c r="I50" s="72" t="s">
        <v>39</v>
      </c>
      <c r="J50" s="55"/>
    </row>
    <row r="51" ht="14.25" customHeight="1">
      <c r="A51" s="143">
        <v>49.0</v>
      </c>
      <c r="B51" s="73"/>
      <c r="C51" s="74" t="s">
        <v>40</v>
      </c>
      <c r="D51" s="59">
        <v>2.0</v>
      </c>
      <c r="E51" s="25" t="str">
        <f t="shared" si="3"/>
        <v>2</v>
      </c>
      <c r="F51" s="75">
        <v>1.0</v>
      </c>
      <c r="G51" s="76" t="s">
        <v>10</v>
      </c>
      <c r="H51" s="77"/>
      <c r="I51" s="78" t="s">
        <v>41</v>
      </c>
      <c r="J51" s="79"/>
    </row>
    <row r="52" ht="14.25" customHeight="1">
      <c r="A52" s="143">
        <v>50.0</v>
      </c>
      <c r="B52" s="38"/>
      <c r="C52" s="63" t="s">
        <v>30</v>
      </c>
      <c r="D52" s="64">
        <v>2.0</v>
      </c>
      <c r="E52" s="9" t="str">
        <f t="shared" si="3"/>
        <v>2</v>
      </c>
      <c r="F52" s="65">
        <v>1.0</v>
      </c>
      <c r="G52" s="66" t="s">
        <v>10</v>
      </c>
      <c r="H52" s="44"/>
      <c r="I52" s="67" t="s">
        <v>129</v>
      </c>
      <c r="J52" s="46"/>
    </row>
    <row r="53" ht="14.25" customHeight="1">
      <c r="A53" s="143">
        <v>51.0</v>
      </c>
      <c r="B53" s="47"/>
      <c r="C53" s="68" t="s">
        <v>32</v>
      </c>
      <c r="D53" s="69">
        <v>0.0</v>
      </c>
      <c r="E53" s="50" t="str">
        <f t="shared" si="3"/>
        <v>0</v>
      </c>
      <c r="F53" s="70">
        <v>1.0</v>
      </c>
      <c r="G53" s="52" t="s">
        <v>10</v>
      </c>
      <c r="H53" s="53"/>
      <c r="I53" s="71" t="s">
        <v>33</v>
      </c>
      <c r="J53" s="55"/>
    </row>
    <row r="54" ht="14.25" customHeight="1">
      <c r="A54" s="143">
        <v>52.0</v>
      </c>
      <c r="B54" s="47"/>
      <c r="C54" s="68" t="s">
        <v>34</v>
      </c>
      <c r="D54" s="49">
        <v>21.0</v>
      </c>
      <c r="E54" s="50" t="str">
        <f t="shared" si="3"/>
        <v>15</v>
      </c>
      <c r="F54" s="70">
        <v>2.0</v>
      </c>
      <c r="G54" s="52" t="s">
        <v>10</v>
      </c>
      <c r="H54" s="53"/>
      <c r="I54" s="72" t="s">
        <v>35</v>
      </c>
      <c r="J54" s="55"/>
    </row>
    <row r="55" ht="14.25" customHeight="1">
      <c r="A55" s="143">
        <v>53.0</v>
      </c>
      <c r="B55" s="47"/>
      <c r="C55" s="68" t="s">
        <v>36</v>
      </c>
      <c r="D55" s="49">
        <v>16.0</v>
      </c>
      <c r="E55" s="50" t="str">
        <f t="shared" si="3"/>
        <v>10</v>
      </c>
      <c r="F55" s="70">
        <v>1.0</v>
      </c>
      <c r="G55" s="52" t="s">
        <v>10</v>
      </c>
      <c r="H55" s="53"/>
      <c r="I55" s="71" t="s">
        <v>37</v>
      </c>
      <c r="J55" s="55"/>
    </row>
    <row r="56" ht="14.25" customHeight="1">
      <c r="A56" s="143">
        <v>54.0</v>
      </c>
      <c r="B56" s="47"/>
      <c r="C56" s="68" t="s">
        <v>38</v>
      </c>
      <c r="D56" s="49">
        <v>32.0</v>
      </c>
      <c r="E56" s="50" t="str">
        <f t="shared" si="3"/>
        <v>20</v>
      </c>
      <c r="F56" s="70">
        <v>1.0</v>
      </c>
      <c r="G56" s="52" t="s">
        <v>10</v>
      </c>
      <c r="H56" s="53"/>
      <c r="I56" s="72" t="s">
        <v>39</v>
      </c>
      <c r="J56" s="55"/>
    </row>
    <row r="57" ht="14.25" customHeight="1">
      <c r="A57" s="143">
        <v>55.0</v>
      </c>
      <c r="B57" s="73"/>
      <c r="C57" s="74" t="s">
        <v>40</v>
      </c>
      <c r="D57" s="59">
        <v>2.0</v>
      </c>
      <c r="E57" s="25" t="str">
        <f t="shared" si="3"/>
        <v>2</v>
      </c>
      <c r="F57" s="75">
        <v>1.0</v>
      </c>
      <c r="G57" s="76" t="s">
        <v>10</v>
      </c>
      <c r="H57" s="77"/>
      <c r="I57" s="78" t="s">
        <v>41</v>
      </c>
      <c r="J57" s="79"/>
    </row>
    <row r="58" ht="14.25" customHeight="1">
      <c r="A58" s="143">
        <v>56.0</v>
      </c>
      <c r="B58" s="38"/>
      <c r="C58" s="63" t="s">
        <v>30</v>
      </c>
      <c r="D58" s="64">
        <v>2.0</v>
      </c>
      <c r="E58" s="9" t="str">
        <f t="shared" si="3"/>
        <v>2</v>
      </c>
      <c r="F58" s="65">
        <v>1.0</v>
      </c>
      <c r="G58" s="66" t="s">
        <v>10</v>
      </c>
      <c r="H58" s="44"/>
      <c r="I58" s="67" t="s">
        <v>130</v>
      </c>
      <c r="J58" s="46"/>
    </row>
    <row r="59" ht="14.25" customHeight="1">
      <c r="A59" s="143">
        <v>57.0</v>
      </c>
      <c r="B59" s="47"/>
      <c r="C59" s="68" t="s">
        <v>32</v>
      </c>
      <c r="D59" s="69">
        <v>0.0</v>
      </c>
      <c r="E59" s="50" t="str">
        <f t="shared" si="3"/>
        <v>0</v>
      </c>
      <c r="F59" s="70">
        <v>1.0</v>
      </c>
      <c r="G59" s="52" t="s">
        <v>10</v>
      </c>
      <c r="H59" s="53"/>
      <c r="I59" s="71" t="s">
        <v>33</v>
      </c>
      <c r="J59" s="55"/>
    </row>
    <row r="60" ht="14.25" customHeight="1">
      <c r="A60" s="143">
        <v>58.0</v>
      </c>
      <c r="B60" s="47"/>
      <c r="C60" s="68" t="s">
        <v>34</v>
      </c>
      <c r="D60" s="49">
        <v>27.0</v>
      </c>
      <c r="E60" s="50" t="str">
        <f t="shared" si="3"/>
        <v>1B</v>
      </c>
      <c r="F60" s="70">
        <v>2.0</v>
      </c>
      <c r="G60" s="52" t="s">
        <v>10</v>
      </c>
      <c r="H60" s="53"/>
      <c r="I60" s="72" t="s">
        <v>35</v>
      </c>
      <c r="J60" s="55"/>
    </row>
    <row r="61" ht="14.25" customHeight="1">
      <c r="A61" s="143">
        <v>59.0</v>
      </c>
      <c r="B61" s="47"/>
      <c r="C61" s="68" t="s">
        <v>36</v>
      </c>
      <c r="D61" s="49">
        <v>16.0</v>
      </c>
      <c r="E61" s="50" t="str">
        <f t="shared" si="3"/>
        <v>10</v>
      </c>
      <c r="F61" s="70">
        <v>1.0</v>
      </c>
      <c r="G61" s="52" t="s">
        <v>10</v>
      </c>
      <c r="H61" s="53"/>
      <c r="I61" s="71" t="s">
        <v>37</v>
      </c>
      <c r="J61" s="55"/>
    </row>
    <row r="62" ht="14.25" customHeight="1">
      <c r="A62" s="143">
        <v>60.0</v>
      </c>
      <c r="B62" s="47"/>
      <c r="C62" s="68" t="s">
        <v>38</v>
      </c>
      <c r="D62" s="49">
        <v>48.0</v>
      </c>
      <c r="E62" s="50" t="str">
        <f t="shared" si="3"/>
        <v>30</v>
      </c>
      <c r="F62" s="70">
        <v>1.0</v>
      </c>
      <c r="G62" s="52" t="s">
        <v>10</v>
      </c>
      <c r="H62" s="53"/>
      <c r="I62" s="72" t="s">
        <v>39</v>
      </c>
      <c r="J62" s="55"/>
    </row>
    <row r="63" ht="14.25" customHeight="1">
      <c r="A63" s="143">
        <v>61.0</v>
      </c>
      <c r="B63" s="73"/>
      <c r="C63" s="74" t="s">
        <v>40</v>
      </c>
      <c r="D63" s="59">
        <v>2.0</v>
      </c>
      <c r="E63" s="25" t="str">
        <f t="shared" si="3"/>
        <v>2</v>
      </c>
      <c r="F63" s="75">
        <v>1.0</v>
      </c>
      <c r="G63" s="76" t="s">
        <v>10</v>
      </c>
      <c r="H63" s="77"/>
      <c r="I63" s="78" t="s">
        <v>41</v>
      </c>
      <c r="J63" s="79"/>
    </row>
    <row r="64" ht="14.25" customHeight="1">
      <c r="A64" s="143">
        <v>62.0</v>
      </c>
      <c r="B64" s="80"/>
      <c r="C64" s="30" t="s">
        <v>43</v>
      </c>
      <c r="D64" s="31">
        <v>1.0</v>
      </c>
      <c r="E64" s="32" t="str">
        <f t="shared" si="3"/>
        <v>1</v>
      </c>
      <c r="F64" s="32">
        <v>1.0</v>
      </c>
      <c r="G64" s="81"/>
      <c r="H64" s="82"/>
      <c r="I64" s="35" t="s">
        <v>131</v>
      </c>
      <c r="J64" s="34"/>
    </row>
    <row r="65" ht="14.25" customHeight="1">
      <c r="A65" s="143">
        <v>63.0</v>
      </c>
      <c r="B65" s="83"/>
      <c r="C65" s="84" t="s">
        <v>45</v>
      </c>
      <c r="D65" s="85" t="s">
        <v>66</v>
      </c>
      <c r="E65" s="41">
        <v>189.0</v>
      </c>
      <c r="F65" s="86">
        <v>2.0</v>
      </c>
      <c r="G65" s="87" t="s">
        <v>10</v>
      </c>
      <c r="H65" s="88"/>
      <c r="I65" s="89" t="s">
        <v>132</v>
      </c>
      <c r="J65" s="90"/>
    </row>
    <row r="66" ht="14.25" customHeight="1">
      <c r="A66" s="143">
        <v>64.0</v>
      </c>
      <c r="B66" s="91"/>
      <c r="C66" s="92" t="s">
        <v>47</v>
      </c>
      <c r="D66" s="49">
        <v>50.0</v>
      </c>
      <c r="E66" s="50" t="str">
        <f t="shared" ref="E66:E96" si="4"> DEC2HEX(D66)</f>
        <v>32</v>
      </c>
      <c r="F66" s="93">
        <v>2.0</v>
      </c>
      <c r="G66" s="94" t="s">
        <v>10</v>
      </c>
      <c r="H66" s="95"/>
      <c r="I66" s="96" t="s">
        <v>48</v>
      </c>
      <c r="J66" s="97"/>
    </row>
    <row r="67" ht="14.25" customHeight="1">
      <c r="A67" s="143">
        <v>65.0</v>
      </c>
      <c r="B67" s="91"/>
      <c r="C67" s="92" t="s">
        <v>24</v>
      </c>
      <c r="D67" s="49">
        <v>8.0</v>
      </c>
      <c r="E67" s="50" t="str">
        <f t="shared" si="4"/>
        <v>8</v>
      </c>
      <c r="F67" s="93">
        <v>1.0</v>
      </c>
      <c r="G67" s="94" t="s">
        <v>10</v>
      </c>
      <c r="H67" s="95"/>
      <c r="I67" s="96" t="s">
        <v>25</v>
      </c>
      <c r="J67" s="97"/>
    </row>
    <row r="68" ht="14.25" customHeight="1">
      <c r="A68" s="143">
        <v>66.0</v>
      </c>
      <c r="B68" s="98"/>
      <c r="C68" s="92" t="s">
        <v>49</v>
      </c>
      <c r="D68" s="69">
        <v>0.0</v>
      </c>
      <c r="E68" s="50" t="str">
        <f t="shared" si="4"/>
        <v>0</v>
      </c>
      <c r="F68" s="93">
        <v>1.0</v>
      </c>
      <c r="G68" s="94" t="s">
        <v>10</v>
      </c>
      <c r="H68" s="95"/>
      <c r="I68" s="96" t="s">
        <v>33</v>
      </c>
      <c r="J68" s="97"/>
    </row>
    <row r="69" ht="14.25" customHeight="1">
      <c r="A69" s="143">
        <v>67.0</v>
      </c>
      <c r="B69" s="99"/>
      <c r="C69" s="100" t="s">
        <v>50</v>
      </c>
      <c r="D69" s="59">
        <v>4.0</v>
      </c>
      <c r="E69" s="25" t="str">
        <f t="shared" si="4"/>
        <v>4</v>
      </c>
      <c r="F69" s="101">
        <v>1.0</v>
      </c>
      <c r="G69" s="102" t="s">
        <v>10</v>
      </c>
      <c r="H69" s="103"/>
      <c r="I69" s="104" t="s">
        <v>51</v>
      </c>
      <c r="J69" s="105"/>
    </row>
    <row r="70" ht="14.25" customHeight="1">
      <c r="A70" s="143">
        <v>68.0</v>
      </c>
      <c r="B70" s="106"/>
      <c r="C70" s="107" t="s">
        <v>30</v>
      </c>
      <c r="D70" s="64">
        <v>2.0</v>
      </c>
      <c r="E70" s="9" t="str">
        <f t="shared" si="4"/>
        <v>2</v>
      </c>
      <c r="F70" s="108">
        <v>1.0</v>
      </c>
      <c r="G70" s="109" t="s">
        <v>10</v>
      </c>
      <c r="H70" s="88"/>
      <c r="I70" s="110" t="s">
        <v>133</v>
      </c>
      <c r="J70" s="90"/>
    </row>
    <row r="71" ht="14.25" customHeight="1">
      <c r="A71" s="143">
        <v>69.0</v>
      </c>
      <c r="B71" s="98"/>
      <c r="C71" s="111" t="s">
        <v>32</v>
      </c>
      <c r="D71" s="69">
        <v>0.0</v>
      </c>
      <c r="E71" s="50" t="str">
        <f t="shared" si="4"/>
        <v>0</v>
      </c>
      <c r="F71" s="112">
        <v>1.0</v>
      </c>
      <c r="G71" s="113" t="s">
        <v>10</v>
      </c>
      <c r="H71" s="95"/>
      <c r="I71" s="114" t="s">
        <v>33</v>
      </c>
      <c r="J71" s="97"/>
    </row>
    <row r="72" ht="14.25" customHeight="1">
      <c r="A72" s="143">
        <v>70.0</v>
      </c>
      <c r="B72" s="98"/>
      <c r="C72" s="111" t="s">
        <v>34</v>
      </c>
      <c r="D72" s="49">
        <v>4.0</v>
      </c>
      <c r="E72" s="50" t="str">
        <f t="shared" si="4"/>
        <v>4</v>
      </c>
      <c r="F72" s="112">
        <v>2.0</v>
      </c>
      <c r="G72" s="113" t="s">
        <v>10</v>
      </c>
      <c r="H72" s="95"/>
      <c r="I72" s="114" t="s">
        <v>35</v>
      </c>
      <c r="J72" s="97"/>
    </row>
    <row r="73" ht="14.25" customHeight="1">
      <c r="A73" s="143">
        <v>71.0</v>
      </c>
      <c r="B73" s="98"/>
      <c r="C73" s="111" t="s">
        <v>36</v>
      </c>
      <c r="D73" s="49">
        <v>16.0</v>
      </c>
      <c r="E73" s="50" t="str">
        <f t="shared" si="4"/>
        <v>10</v>
      </c>
      <c r="F73" s="112">
        <v>1.0</v>
      </c>
      <c r="G73" s="113" t="s">
        <v>10</v>
      </c>
      <c r="H73" s="95"/>
      <c r="I73" s="114" t="s">
        <v>37</v>
      </c>
      <c r="J73" s="97"/>
    </row>
    <row r="74" ht="14.25" customHeight="1">
      <c r="A74" s="143">
        <v>72.0</v>
      </c>
      <c r="B74" s="98"/>
      <c r="C74" s="111" t="s">
        <v>38</v>
      </c>
      <c r="D74" s="49">
        <v>0.0</v>
      </c>
      <c r="E74" s="50" t="str">
        <f t="shared" si="4"/>
        <v>0</v>
      </c>
      <c r="F74" s="112">
        <v>1.0</v>
      </c>
      <c r="G74" s="113" t="s">
        <v>10</v>
      </c>
      <c r="H74" s="95"/>
      <c r="I74" s="114" t="s">
        <v>39</v>
      </c>
      <c r="J74" s="97"/>
    </row>
    <row r="75" ht="14.25" customHeight="1">
      <c r="A75" s="143">
        <v>73.0</v>
      </c>
      <c r="B75" s="99"/>
      <c r="C75" s="115" t="s">
        <v>53</v>
      </c>
      <c r="D75" s="59">
        <v>0.0</v>
      </c>
      <c r="E75" s="25" t="str">
        <f t="shared" si="4"/>
        <v>0</v>
      </c>
      <c r="F75" s="116">
        <v>1.0</v>
      </c>
      <c r="G75" s="117" t="s">
        <v>10</v>
      </c>
      <c r="H75" s="103"/>
      <c r="I75" s="118" t="s">
        <v>54</v>
      </c>
      <c r="J75" s="105"/>
    </row>
    <row r="76" ht="14.25" customHeight="1">
      <c r="A76" s="143">
        <v>74.0</v>
      </c>
      <c r="B76" s="106"/>
      <c r="C76" s="107" t="s">
        <v>30</v>
      </c>
      <c r="D76" s="64">
        <v>2.0</v>
      </c>
      <c r="E76" s="9" t="str">
        <f t="shared" si="4"/>
        <v>2</v>
      </c>
      <c r="F76" s="108">
        <v>1.0</v>
      </c>
      <c r="G76" s="109" t="s">
        <v>10</v>
      </c>
      <c r="H76" s="88"/>
      <c r="I76" s="110" t="s">
        <v>134</v>
      </c>
      <c r="J76" s="90"/>
    </row>
    <row r="77" ht="14.25" customHeight="1">
      <c r="A77" s="143">
        <v>75.0</v>
      </c>
      <c r="B77" s="98"/>
      <c r="C77" s="111" t="s">
        <v>32</v>
      </c>
      <c r="D77" s="69">
        <v>0.0</v>
      </c>
      <c r="E77" s="50" t="str">
        <f t="shared" si="4"/>
        <v>0</v>
      </c>
      <c r="F77" s="112">
        <v>1.0</v>
      </c>
      <c r="G77" s="113" t="s">
        <v>10</v>
      </c>
      <c r="H77" s="95"/>
      <c r="I77" s="114" t="s">
        <v>33</v>
      </c>
      <c r="J77" s="97"/>
    </row>
    <row r="78" ht="14.25" customHeight="1">
      <c r="A78" s="143">
        <v>76.0</v>
      </c>
      <c r="B78" s="98"/>
      <c r="C78" s="111" t="s">
        <v>34</v>
      </c>
      <c r="D78" s="49">
        <v>17.0</v>
      </c>
      <c r="E78" s="50" t="str">
        <f t="shared" si="4"/>
        <v>11</v>
      </c>
      <c r="F78" s="112">
        <v>2.0</v>
      </c>
      <c r="G78" s="113" t="s">
        <v>10</v>
      </c>
      <c r="H78" s="95"/>
      <c r="I78" s="114" t="s">
        <v>35</v>
      </c>
      <c r="J78" s="97"/>
    </row>
    <row r="79" ht="14.25" customHeight="1">
      <c r="A79" s="143">
        <v>77.0</v>
      </c>
      <c r="B79" s="98"/>
      <c r="C79" s="111" t="s">
        <v>36</v>
      </c>
      <c r="D79" s="49">
        <v>16.0</v>
      </c>
      <c r="E79" s="50" t="str">
        <f t="shared" si="4"/>
        <v>10</v>
      </c>
      <c r="F79" s="112">
        <v>1.0</v>
      </c>
      <c r="G79" s="113" t="s">
        <v>10</v>
      </c>
      <c r="H79" s="95"/>
      <c r="I79" s="114" t="s">
        <v>37</v>
      </c>
      <c r="J79" s="97"/>
    </row>
    <row r="80" ht="14.25" customHeight="1">
      <c r="A80" s="143">
        <v>78.0</v>
      </c>
      <c r="B80" s="98"/>
      <c r="C80" s="111" t="s">
        <v>38</v>
      </c>
      <c r="D80" s="49">
        <v>16.0</v>
      </c>
      <c r="E80" s="50" t="str">
        <f t="shared" si="4"/>
        <v>10</v>
      </c>
      <c r="F80" s="112">
        <v>1.0</v>
      </c>
      <c r="G80" s="113" t="s">
        <v>10</v>
      </c>
      <c r="H80" s="95"/>
      <c r="I80" s="114" t="s">
        <v>39</v>
      </c>
      <c r="J80" s="97"/>
    </row>
    <row r="81" ht="14.25" customHeight="1">
      <c r="A81" s="143">
        <v>79.0</v>
      </c>
      <c r="B81" s="99"/>
      <c r="C81" s="115" t="s">
        <v>53</v>
      </c>
      <c r="D81" s="59">
        <v>0.0</v>
      </c>
      <c r="E81" s="25" t="str">
        <f t="shared" si="4"/>
        <v>0</v>
      </c>
      <c r="F81" s="116">
        <v>1.0</v>
      </c>
      <c r="G81" s="117" t="s">
        <v>10</v>
      </c>
      <c r="H81" s="103"/>
      <c r="I81" s="118" t="s">
        <v>54</v>
      </c>
      <c r="J81" s="105"/>
    </row>
    <row r="82" ht="14.25" customHeight="1">
      <c r="A82" s="143">
        <v>80.0</v>
      </c>
      <c r="B82" s="106"/>
      <c r="C82" s="107" t="s">
        <v>30</v>
      </c>
      <c r="D82" s="64">
        <v>2.0</v>
      </c>
      <c r="E82" s="9" t="str">
        <f t="shared" si="4"/>
        <v>2</v>
      </c>
      <c r="F82" s="108">
        <v>1.0</v>
      </c>
      <c r="G82" s="109" t="s">
        <v>10</v>
      </c>
      <c r="H82" s="88"/>
      <c r="I82" s="110" t="s">
        <v>135</v>
      </c>
      <c r="J82" s="90"/>
    </row>
    <row r="83" ht="14.25" customHeight="1">
      <c r="A83" s="143">
        <v>81.0</v>
      </c>
      <c r="B83" s="98"/>
      <c r="C83" s="111" t="s">
        <v>32</v>
      </c>
      <c r="D83" s="69">
        <v>0.0</v>
      </c>
      <c r="E83" s="50" t="str">
        <f t="shared" si="4"/>
        <v>0</v>
      </c>
      <c r="F83" s="112">
        <v>1.0</v>
      </c>
      <c r="G83" s="113" t="s">
        <v>10</v>
      </c>
      <c r="H83" s="95"/>
      <c r="I83" s="114" t="s">
        <v>33</v>
      </c>
      <c r="J83" s="97"/>
    </row>
    <row r="84" ht="14.25" customHeight="1">
      <c r="A84" s="143">
        <v>82.0</v>
      </c>
      <c r="B84" s="98"/>
      <c r="C84" s="111" t="s">
        <v>34</v>
      </c>
      <c r="D84" s="49">
        <v>13.0</v>
      </c>
      <c r="E84" s="50" t="str">
        <f t="shared" si="4"/>
        <v>D</v>
      </c>
      <c r="F84" s="112">
        <v>2.0</v>
      </c>
      <c r="G84" s="113" t="s">
        <v>10</v>
      </c>
      <c r="H84" s="95"/>
      <c r="I84" s="114" t="s">
        <v>35</v>
      </c>
      <c r="J84" s="97"/>
    </row>
    <row r="85" ht="14.25" customHeight="1">
      <c r="A85" s="143">
        <v>83.0</v>
      </c>
      <c r="B85" s="98"/>
      <c r="C85" s="111" t="s">
        <v>36</v>
      </c>
      <c r="D85" s="49">
        <v>16.0</v>
      </c>
      <c r="E85" s="50" t="str">
        <f t="shared" si="4"/>
        <v>10</v>
      </c>
      <c r="F85" s="112">
        <v>1.0</v>
      </c>
      <c r="G85" s="113" t="s">
        <v>10</v>
      </c>
      <c r="H85" s="95"/>
      <c r="I85" s="114" t="s">
        <v>37</v>
      </c>
      <c r="J85" s="97"/>
    </row>
    <row r="86" ht="14.25" customHeight="1">
      <c r="A86" s="143">
        <v>84.0</v>
      </c>
      <c r="B86" s="98"/>
      <c r="C86" s="111" t="s">
        <v>38</v>
      </c>
      <c r="D86" s="49">
        <v>32.0</v>
      </c>
      <c r="E86" s="50" t="str">
        <f t="shared" si="4"/>
        <v>20</v>
      </c>
      <c r="F86" s="112">
        <v>1.0</v>
      </c>
      <c r="G86" s="113" t="s">
        <v>10</v>
      </c>
      <c r="H86" s="95"/>
      <c r="I86" s="114" t="s">
        <v>39</v>
      </c>
      <c r="J86" s="97"/>
    </row>
    <row r="87" ht="14.25" customHeight="1">
      <c r="A87" s="143">
        <v>85.0</v>
      </c>
      <c r="B87" s="99"/>
      <c r="C87" s="115" t="s">
        <v>53</v>
      </c>
      <c r="D87" s="59">
        <v>0.0</v>
      </c>
      <c r="E87" s="25" t="str">
        <f t="shared" si="4"/>
        <v>0</v>
      </c>
      <c r="F87" s="116">
        <v>1.0</v>
      </c>
      <c r="G87" s="117" t="s">
        <v>10</v>
      </c>
      <c r="H87" s="103"/>
      <c r="I87" s="118" t="s">
        <v>54</v>
      </c>
      <c r="J87" s="105"/>
    </row>
    <row r="88" ht="14.25" customHeight="1">
      <c r="A88" s="143">
        <v>86.0</v>
      </c>
      <c r="B88" s="106"/>
      <c r="C88" s="107" t="s">
        <v>30</v>
      </c>
      <c r="D88" s="64">
        <v>2.0</v>
      </c>
      <c r="E88" s="9" t="str">
        <f t="shared" si="4"/>
        <v>2</v>
      </c>
      <c r="F88" s="108">
        <v>1.0</v>
      </c>
      <c r="G88" s="109" t="s">
        <v>10</v>
      </c>
      <c r="H88" s="88"/>
      <c r="I88" s="110" t="s">
        <v>136</v>
      </c>
      <c r="J88" s="90"/>
    </row>
    <row r="89" ht="14.25" customHeight="1">
      <c r="A89" s="143">
        <v>87.0</v>
      </c>
      <c r="B89" s="98"/>
      <c r="C89" s="111" t="s">
        <v>32</v>
      </c>
      <c r="D89" s="69">
        <v>0.0</v>
      </c>
      <c r="E89" s="50" t="str">
        <f t="shared" si="4"/>
        <v>0</v>
      </c>
      <c r="F89" s="112">
        <v>1.0</v>
      </c>
      <c r="G89" s="113" t="s">
        <v>10</v>
      </c>
      <c r="H89" s="95"/>
      <c r="I89" s="114" t="s">
        <v>33</v>
      </c>
      <c r="J89" s="97"/>
    </row>
    <row r="90" ht="14.25" customHeight="1">
      <c r="A90" s="143">
        <v>88.0</v>
      </c>
      <c r="B90" s="98"/>
      <c r="C90" s="111" t="s">
        <v>34</v>
      </c>
      <c r="D90" s="49">
        <v>14.0</v>
      </c>
      <c r="E90" s="50" t="str">
        <f t="shared" si="4"/>
        <v>E</v>
      </c>
      <c r="F90" s="112">
        <v>2.0</v>
      </c>
      <c r="G90" s="113" t="s">
        <v>10</v>
      </c>
      <c r="H90" s="95"/>
      <c r="I90" s="114" t="s">
        <v>35</v>
      </c>
      <c r="J90" s="97"/>
    </row>
    <row r="91" ht="14.25" customHeight="1">
      <c r="A91" s="143">
        <v>89.0</v>
      </c>
      <c r="B91" s="98"/>
      <c r="C91" s="111" t="s">
        <v>36</v>
      </c>
      <c r="D91" s="49">
        <v>16.0</v>
      </c>
      <c r="E91" s="50" t="str">
        <f t="shared" si="4"/>
        <v>10</v>
      </c>
      <c r="F91" s="112">
        <v>1.0</v>
      </c>
      <c r="G91" s="113" t="s">
        <v>10</v>
      </c>
      <c r="H91" s="95"/>
      <c r="I91" s="114" t="s">
        <v>37</v>
      </c>
      <c r="J91" s="97"/>
    </row>
    <row r="92" ht="14.25" customHeight="1">
      <c r="A92" s="143">
        <v>90.0</v>
      </c>
      <c r="B92" s="98"/>
      <c r="C92" s="111" t="s">
        <v>38</v>
      </c>
      <c r="D92" s="49">
        <v>48.0</v>
      </c>
      <c r="E92" s="50" t="str">
        <f t="shared" si="4"/>
        <v>30</v>
      </c>
      <c r="F92" s="112">
        <v>1.0</v>
      </c>
      <c r="G92" s="113" t="s">
        <v>10</v>
      </c>
      <c r="H92" s="95"/>
      <c r="I92" s="114" t="s">
        <v>39</v>
      </c>
      <c r="J92" s="97"/>
    </row>
    <row r="93" ht="14.25" customHeight="1">
      <c r="A93" s="143">
        <v>91.0</v>
      </c>
      <c r="B93" s="99"/>
      <c r="C93" s="115" t="s">
        <v>53</v>
      </c>
      <c r="D93" s="59">
        <v>0.0</v>
      </c>
      <c r="E93" s="25" t="str">
        <f t="shared" si="4"/>
        <v>0</v>
      </c>
      <c r="F93" s="116">
        <v>1.0</v>
      </c>
      <c r="G93" s="117" t="s">
        <v>10</v>
      </c>
      <c r="H93" s="103"/>
      <c r="I93" s="118" t="s">
        <v>54</v>
      </c>
      <c r="J93" s="105"/>
    </row>
    <row r="94" ht="14.25" customHeight="1">
      <c r="A94" s="143">
        <v>92.0</v>
      </c>
      <c r="B94" s="119"/>
      <c r="C94" s="120" t="s">
        <v>56</v>
      </c>
      <c r="D94" s="64">
        <v>500.0</v>
      </c>
      <c r="E94" s="121" t="str">
        <f t="shared" si="4"/>
        <v>1F4</v>
      </c>
      <c r="F94" s="122">
        <v>2.0</v>
      </c>
      <c r="G94" s="10" t="s">
        <v>10</v>
      </c>
      <c r="H94" s="123"/>
      <c r="I94" s="120" t="s">
        <v>57</v>
      </c>
      <c r="J94" s="13"/>
    </row>
    <row r="95" ht="14.25" customHeight="1">
      <c r="A95" s="143">
        <v>93.0</v>
      </c>
      <c r="B95" s="124"/>
      <c r="C95" s="125" t="s">
        <v>58</v>
      </c>
      <c r="D95" s="126">
        <v>0.0</v>
      </c>
      <c r="E95" s="127" t="str">
        <f t="shared" si="4"/>
        <v>0</v>
      </c>
      <c r="F95" s="127">
        <v>1.0</v>
      </c>
      <c r="G95" s="33" t="s">
        <v>10</v>
      </c>
      <c r="H95" s="128"/>
      <c r="I95" s="129" t="s">
        <v>59</v>
      </c>
      <c r="J95" s="26"/>
    </row>
    <row r="96" ht="14.25" customHeight="1">
      <c r="A96" s="143">
        <v>94.0</v>
      </c>
      <c r="B96" s="131"/>
      <c r="C96" s="132" t="s">
        <v>60</v>
      </c>
      <c r="D96" s="133">
        <v>0.0</v>
      </c>
      <c r="E96" s="134" t="str">
        <f t="shared" si="4"/>
        <v>0</v>
      </c>
      <c r="F96" s="135">
        <v>1.0</v>
      </c>
      <c r="G96" s="33" t="s">
        <v>10</v>
      </c>
      <c r="H96" s="82"/>
      <c r="I96" s="136" t="s">
        <v>61</v>
      </c>
      <c r="J96" s="34"/>
    </row>
    <row r="97" ht="14.25" customHeight="1">
      <c r="B97" s="130"/>
      <c r="C97" s="130"/>
      <c r="D97" s="130"/>
      <c r="E97" s="130"/>
      <c r="F97" s="130"/>
      <c r="G97" s="130"/>
      <c r="H97" s="130"/>
      <c r="I97" s="130"/>
      <c r="J97" s="130"/>
    </row>
    <row r="98" ht="14.25" customHeight="1"/>
    <row r="99" ht="14.25" customHeight="1"/>
    <row r="100" ht="14.25" customHeight="1"/>
    <row r="101" ht="14.25" customHeight="1">
      <c r="C101" s="137" t="s">
        <v>62</v>
      </c>
      <c r="D101" s="138"/>
      <c r="E101" s="138"/>
      <c r="F101" s="139">
        <f>SUM(F4:F100)</f>
        <v>112</v>
      </c>
    </row>
    <row r="102" ht="14.25" customHeight="1">
      <c r="C102" s="22" t="s">
        <v>63</v>
      </c>
      <c r="D102" s="140"/>
      <c r="E102" s="140"/>
      <c r="F102" s="141">
        <f> F101/2</f>
        <v>56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>
      <c r="E123" s="37"/>
    </row>
    <row r="124" ht="14.25" customHeight="1">
      <c r="E124" s="37"/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